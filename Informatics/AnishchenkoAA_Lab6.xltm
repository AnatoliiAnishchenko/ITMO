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tolik\OneDrive\Рабочий стол\ITMO\Informatics\"/>
    </mc:Choice>
  </mc:AlternateContent>
  <xr:revisionPtr revIDLastSave="0" documentId="13_ncr:11_{A49BAD3F-2562-4272-B3EE-C1383B324AA5}" xr6:coauthVersionLast="38" xr6:coauthVersionMax="38" xr10:uidLastSave="{00000000-0000-0000-0000-000000000000}"/>
  <bookViews>
    <workbookView xWindow="0" yWindow="0" windowWidth="19200" windowHeight="7470" firstSheet="1" activeTab="8" xr2:uid="{B4BDC9EF-70C4-4D73-BDA3-4E53745B706A}"/>
  </bookViews>
  <sheets>
    <sheet name="B.2" sheetId="1" r:id="rId1"/>
    <sheet name="Справочник" sheetId="2" r:id="rId2"/>
    <sheet name="Расчёт" sheetId="3" r:id="rId3"/>
    <sheet name="C.3" sheetId="4" r:id="rId4"/>
    <sheet name="Стипендия" sheetId="6" r:id="rId5"/>
    <sheet name="F.96" sheetId="5" r:id="rId6"/>
    <sheet name="G.1.1" sheetId="7" r:id="rId7"/>
    <sheet name="G.1.2" sheetId="8" r:id="rId8"/>
    <sheet name="H.1" sheetId="9" r:id="rId9"/>
    <sheet name="H.1 (2)" sheetId="10" r:id="rId10"/>
    <sheet name="H.1 (3)" sheetId="11" r:id="rId11"/>
    <sheet name="H.1 (4)" sheetId="12" r:id="rId1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7" l="1"/>
  <c r="G16" i="6"/>
  <c r="C6" i="7" l="1"/>
  <c r="C13" i="7"/>
  <c r="C14" i="7"/>
  <c r="C15" i="7"/>
  <c r="C12" i="7"/>
  <c r="C11" i="7"/>
  <c r="C10" i="7"/>
  <c r="C9" i="7"/>
  <c r="C8" i="7"/>
  <c r="C7" i="7"/>
  <c r="C5" i="7"/>
  <c r="C4" i="7"/>
  <c r="C3" i="7"/>
  <c r="F15" i="6"/>
  <c r="F14" i="6"/>
  <c r="H14" i="6" s="1"/>
  <c r="F13" i="6"/>
  <c r="F12" i="6"/>
  <c r="H12" i="6" s="1"/>
  <c r="F11" i="6"/>
  <c r="G17" i="6"/>
  <c r="H15" i="6"/>
  <c r="H13" i="6"/>
  <c r="H11" i="6"/>
  <c r="E9" i="6"/>
  <c r="D9" i="6"/>
  <c r="C9" i="6"/>
  <c r="B9" i="6"/>
  <c r="C16" i="7" l="1"/>
  <c r="G14" i="6"/>
  <c r="G13" i="6"/>
  <c r="G12" i="6"/>
  <c r="G11" i="6"/>
  <c r="G15" i="6"/>
  <c r="D1048576" i="5" l="1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G15" i="3"/>
  <c r="I14" i="3"/>
  <c r="I13" i="3"/>
  <c r="I12" i="3"/>
  <c r="I11" i="3"/>
  <c r="I10" i="3"/>
  <c r="I9" i="3"/>
  <c r="I15" i="3" s="1"/>
  <c r="H14" i="3"/>
  <c r="J14" i="3" s="1"/>
  <c r="H13" i="3"/>
  <c r="J13" i="3" s="1"/>
  <c r="H12" i="3"/>
  <c r="H11" i="3"/>
  <c r="J11" i="3" s="1"/>
  <c r="H10" i="3"/>
  <c r="J10" i="3" s="1"/>
  <c r="H9" i="3"/>
  <c r="G14" i="3"/>
  <c r="G13" i="3"/>
  <c r="G12" i="3"/>
  <c r="G11" i="3"/>
  <c r="G10" i="3"/>
  <c r="G9" i="3"/>
  <c r="H11" i="1"/>
  <c r="J11" i="1" s="1"/>
  <c r="H10" i="1"/>
  <c r="J10" i="1" s="1"/>
  <c r="J9" i="1"/>
  <c r="I9" i="1"/>
  <c r="K9" i="1" s="1"/>
  <c r="H9" i="1"/>
  <c r="L9" i="1" s="1"/>
  <c r="J8" i="1"/>
  <c r="H8" i="1"/>
  <c r="I8" i="1" s="1"/>
  <c r="K8" i="1" s="1"/>
  <c r="H7" i="1"/>
  <c r="J7" i="1" s="1"/>
  <c r="H6" i="1"/>
  <c r="J6" i="1" s="1"/>
  <c r="J9" i="3" l="1"/>
  <c r="H15" i="3"/>
  <c r="L10" i="3"/>
  <c r="K10" i="3"/>
  <c r="M10" i="3" s="1"/>
  <c r="N10" i="3" s="1"/>
  <c r="K9" i="3"/>
  <c r="L9" i="3"/>
  <c r="K13" i="3"/>
  <c r="L13" i="3"/>
  <c r="L14" i="3"/>
  <c r="K14" i="3"/>
  <c r="L11" i="3"/>
  <c r="K11" i="3"/>
  <c r="M11" i="3" s="1"/>
  <c r="N11" i="3" s="1"/>
  <c r="J12" i="3"/>
  <c r="L10" i="1"/>
  <c r="I6" i="1"/>
  <c r="K6" i="1" s="1"/>
  <c r="L6" i="1" s="1"/>
  <c r="L7" i="1"/>
  <c r="I10" i="1"/>
  <c r="K10" i="1" s="1"/>
  <c r="L11" i="1"/>
  <c r="I7" i="1"/>
  <c r="K7" i="1" s="1"/>
  <c r="L8" i="1"/>
  <c r="I11" i="1"/>
  <c r="K11" i="1" s="1"/>
  <c r="M9" i="3" l="1"/>
  <c r="M13" i="3"/>
  <c r="N13" i="3" s="1"/>
  <c r="N9" i="3"/>
  <c r="K15" i="3"/>
  <c r="K12" i="3"/>
  <c r="L12" i="3"/>
  <c r="L15" i="3" s="1"/>
  <c r="M14" i="3"/>
  <c r="N14" i="3" s="1"/>
  <c r="J15" i="3"/>
  <c r="M12" i="3" l="1"/>
  <c r="M15" i="3" l="1"/>
  <c r="N12" i="3"/>
  <c r="N15" i="3" s="1"/>
</calcChain>
</file>

<file path=xl/sharedStrings.xml><?xml version="1.0" encoding="utf-8"?>
<sst xmlns="http://schemas.openxmlformats.org/spreadsheetml/2006/main" count="500" uniqueCount="172">
  <si>
    <t>Расчётчик</t>
  </si>
  <si>
    <t>Комова В.Г.</t>
  </si>
  <si>
    <t>Подоходный налог НДФЛ</t>
  </si>
  <si>
    <t>Пенсионный налог ПФ</t>
  </si>
  <si>
    <t>Больничный лист</t>
  </si>
  <si>
    <t>Отдел:</t>
  </si>
  <si>
    <t>Месяц:</t>
  </si>
  <si>
    <t>Кол-во рабочих дней:</t>
  </si>
  <si>
    <t>ТК№9</t>
  </si>
  <si>
    <t>сентябрь, 2017</t>
  </si>
  <si>
    <t>Ведомость начисления з/платы сотрудников</t>
  </si>
  <si>
    <t>Код</t>
  </si>
  <si>
    <t>ФИО</t>
  </si>
  <si>
    <t>Оклад</t>
  </si>
  <si>
    <t>Премия</t>
  </si>
  <si>
    <t>Дней по больничному</t>
  </si>
  <si>
    <t>Начислено</t>
  </si>
  <si>
    <t>По рабочим дням</t>
  </si>
  <si>
    <t>По больничному</t>
  </si>
  <si>
    <t>Итого</t>
  </si>
  <si>
    <t>Удержания</t>
  </si>
  <si>
    <t>НДФЛ</t>
  </si>
  <si>
    <t>ПФ</t>
  </si>
  <si>
    <t>Сумма к выдаче</t>
  </si>
  <si>
    <t>Итого:</t>
  </si>
  <si>
    <t>Расчетно-платёжная ведомость</t>
  </si>
  <si>
    <t>№ п/п</t>
  </si>
  <si>
    <t>Фамилия</t>
  </si>
  <si>
    <t>Имя</t>
  </si>
  <si>
    <t>Отчество</t>
  </si>
  <si>
    <t>Должность</t>
  </si>
  <si>
    <t>Удержано</t>
  </si>
  <si>
    <t>Итого к выдаче</t>
  </si>
  <si>
    <t>Премия(%)</t>
  </si>
  <si>
    <t>Пенсионный фонд (1%)</t>
  </si>
  <si>
    <t>Подоходный налог (13%)</t>
  </si>
  <si>
    <t>Иванов</t>
  </si>
  <si>
    <t>Иван</t>
  </si>
  <si>
    <t>Васильевич</t>
  </si>
  <si>
    <t>Инженер</t>
  </si>
  <si>
    <t>Вещий</t>
  </si>
  <si>
    <t>Олег</t>
  </si>
  <si>
    <t>Игоревич</t>
  </si>
  <si>
    <t>Программист</t>
  </si>
  <si>
    <t>Смирнова</t>
  </si>
  <si>
    <t>Алевтина</t>
  </si>
  <si>
    <t>Георгиевна</t>
  </si>
  <si>
    <t>Зав. отделом</t>
  </si>
  <si>
    <t>Васильев</t>
  </si>
  <si>
    <t>Василий</t>
  </si>
  <si>
    <t xml:space="preserve">Каренина </t>
  </si>
  <si>
    <t xml:space="preserve">Анна </t>
  </si>
  <si>
    <t>Сергеевна</t>
  </si>
  <si>
    <t>Секретарь</t>
  </si>
  <si>
    <t>Князев</t>
  </si>
  <si>
    <t xml:space="preserve">Игорь </t>
  </si>
  <si>
    <t>Олегович</t>
  </si>
  <si>
    <t>Оператор</t>
  </si>
  <si>
    <t>Директор</t>
  </si>
  <si>
    <t>___________________</t>
  </si>
  <si>
    <t>Петров Г.П.</t>
  </si>
  <si>
    <t>Гл. Бухгалтер</t>
  </si>
  <si>
    <t>Федоров М.Я.</t>
  </si>
  <si>
    <t>Кнопкин Д.Б.</t>
  </si>
  <si>
    <t>Хомзин Г.Д.</t>
  </si>
  <si>
    <t>Рябчикова С.С.</t>
  </si>
  <si>
    <t>Фёдоров М.Я.</t>
  </si>
  <si>
    <t>Топоров Г.Г.</t>
  </si>
  <si>
    <t>Витяев А.К.</t>
  </si>
  <si>
    <t>Спартак</t>
  </si>
  <si>
    <t>Алания</t>
  </si>
  <si>
    <t>Ротор</t>
  </si>
  <si>
    <t>Динамо</t>
  </si>
  <si>
    <t>ЦСКА</t>
  </si>
  <si>
    <t>Локомотив М</t>
  </si>
  <si>
    <t>Балтика</t>
  </si>
  <si>
    <t>Локомотив НН</t>
  </si>
  <si>
    <t>Крылья Советов</t>
  </si>
  <si>
    <t>Зенит</t>
  </si>
  <si>
    <t>Ростсельмаш</t>
  </si>
  <si>
    <t>Торпедо-Лужники</t>
  </si>
  <si>
    <t>Черноморец</t>
  </si>
  <si>
    <t>КАМАЗ-Чаллы</t>
  </si>
  <si>
    <t>Жемчужина</t>
  </si>
  <si>
    <t>Уралмаш</t>
  </si>
  <si>
    <t>Энергия-Текстильщик</t>
  </si>
  <si>
    <t>Лада</t>
  </si>
  <si>
    <t>Место</t>
  </si>
  <si>
    <t>Клуб</t>
  </si>
  <si>
    <t>Выигрыш</t>
  </si>
  <si>
    <t>Ничья</t>
  </si>
  <si>
    <t>Поражение</t>
  </si>
  <si>
    <t>Игр</t>
  </si>
  <si>
    <t>Забитые мячи</t>
  </si>
  <si>
    <t>Пропущенные мячи</t>
  </si>
  <si>
    <t>Разница</t>
  </si>
  <si>
    <t>Очки</t>
  </si>
  <si>
    <t>Ср. балл</t>
  </si>
  <si>
    <t>Стипендия</t>
  </si>
  <si>
    <t>равно</t>
  </si>
  <si>
    <t>больше или равно</t>
  </si>
  <si>
    <t>менее</t>
  </si>
  <si>
    <t>Начисление стипендии по результатам сессии</t>
  </si>
  <si>
    <t>ФИО студента</t>
  </si>
  <si>
    <t>Оценки по экзаменам</t>
  </si>
  <si>
    <t>Средний балл</t>
  </si>
  <si>
    <t>Рейтинг</t>
  </si>
  <si>
    <t>Высшая математика</t>
  </si>
  <si>
    <t>Физика</t>
  </si>
  <si>
    <t>Химия</t>
  </si>
  <si>
    <t>Философия</t>
  </si>
  <si>
    <t>Симонов О.О.</t>
  </si>
  <si>
    <t>Воронцов А.В.</t>
  </si>
  <si>
    <t>Круглова В.О.</t>
  </si>
  <si>
    <t>Рощина С.С.</t>
  </si>
  <si>
    <t>Пузырь П.Д.</t>
  </si>
  <si>
    <t>Количество стипендиатов:</t>
  </si>
  <si>
    <t>Количество повышенных стипендиатов:</t>
  </si>
  <si>
    <t>Итоговая цена</t>
  </si>
  <si>
    <t>ИТОГО:</t>
  </si>
  <si>
    <t>Наименование товарадукта на рынке</t>
  </si>
  <si>
    <t>Цена, руб/кг</t>
  </si>
  <si>
    <t>Бананы</t>
  </si>
  <si>
    <t>Говяжий язык</t>
  </si>
  <si>
    <t>Картофель</t>
  </si>
  <si>
    <t>Помидоры</t>
  </si>
  <si>
    <t>Огурцы</t>
  </si>
  <si>
    <t>Капуста</t>
  </si>
  <si>
    <t>Редис</t>
  </si>
  <si>
    <t>Форель</t>
  </si>
  <si>
    <t>Лук</t>
  </si>
  <si>
    <t>Петрушка</t>
  </si>
  <si>
    <t>Баранина</t>
  </si>
  <si>
    <t>Наименование продукта</t>
  </si>
  <si>
    <t>Количество, кг</t>
  </si>
  <si>
    <t>Свинина (вырезка)</t>
  </si>
  <si>
    <t>Свинина (рёбра)</t>
  </si>
  <si>
    <t>Дорадо</t>
  </si>
  <si>
    <t>Укроп</t>
  </si>
  <si>
    <t>Расчётчик:</t>
  </si>
  <si>
    <t>Зав. отделом:</t>
  </si>
  <si>
    <t>Васькин В.С.</t>
  </si>
  <si>
    <t>_________</t>
  </si>
  <si>
    <t>Дата</t>
  </si>
  <si>
    <t>День недели</t>
  </si>
  <si>
    <t>№ урока</t>
  </si>
  <si>
    <t>Домашнее задание</t>
  </si>
  <si>
    <t>Оценка</t>
  </si>
  <si>
    <t>Подпись</t>
  </si>
  <si>
    <t>Номер триместра</t>
  </si>
  <si>
    <t>Информатика</t>
  </si>
  <si>
    <t>Литература</t>
  </si>
  <si>
    <t>История</t>
  </si>
  <si>
    <t>Алгебра</t>
  </si>
  <si>
    <t>Биология</t>
  </si>
  <si>
    <t>Предмет</t>
  </si>
  <si>
    <t>Физкультура</t>
  </si>
  <si>
    <t>Геометрия</t>
  </si>
  <si>
    <t>Русский язык</t>
  </si>
  <si>
    <t>География</t>
  </si>
  <si>
    <t>Английский язык</t>
  </si>
  <si>
    <t>Обществознание</t>
  </si>
  <si>
    <t>Черчение</t>
  </si>
  <si>
    <t>Понедельник</t>
  </si>
  <si>
    <t>Вторник</t>
  </si>
  <si>
    <t>Среда</t>
  </si>
  <si>
    <t>Четверг</t>
  </si>
  <si>
    <t>Пятница</t>
  </si>
  <si>
    <t>Суббота</t>
  </si>
  <si>
    <t xml:space="preserve">  I</t>
  </si>
  <si>
    <r>
      <t>201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sz val="11"/>
        <color theme="1"/>
        <rFont val="Calibri"/>
        <family val="2"/>
        <charset val="204"/>
        <scheme val="minor"/>
      </rPr>
      <t xml:space="preserve"> года</t>
    </r>
  </si>
  <si>
    <r>
      <t xml:space="preserve">за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      сентябрь     </t>
    </r>
    <r>
      <rPr>
        <b/>
        <i/>
        <sz val="11"/>
        <color theme="1"/>
        <rFont val="Calibri"/>
        <family val="2"/>
        <charset val="204"/>
        <scheme val="minor"/>
      </rPr>
      <t xml:space="preserve">  месяц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</si>
</sst>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\ mmmm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dott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9" fontId="0" fillId="0" borderId="11" xfId="0" applyNumberFormat="1" applyBorder="1"/>
    <xf numFmtId="0" fontId="0" fillId="0" borderId="12" xfId="0" applyBorder="1"/>
    <xf numFmtId="9" fontId="0" fillId="0" borderId="13" xfId="0" applyNumberFormat="1" applyBorder="1"/>
    <xf numFmtId="2" fontId="0" fillId="0" borderId="0" xfId="0" applyNumberFormat="1"/>
    <xf numFmtId="0" fontId="0" fillId="0" borderId="0" xfId="0" applyBorder="1"/>
    <xf numFmtId="0" fontId="3" fillId="0" borderId="23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29" xfId="0" applyNumberFormat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3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37" xfId="0" applyBorder="1"/>
    <xf numFmtId="0" fontId="0" fillId="0" borderId="18" xfId="0" applyBorder="1"/>
    <xf numFmtId="0" fontId="0" fillId="0" borderId="38" xfId="0" applyBorder="1"/>
    <xf numFmtId="0" fontId="0" fillId="0" borderId="5" xfId="0" applyBorder="1"/>
    <xf numFmtId="0" fontId="0" fillId="0" borderId="7" xfId="0" applyBorder="1"/>
    <xf numFmtId="0" fontId="0" fillId="0" borderId="47" xfId="0" applyBorder="1"/>
    <xf numFmtId="0" fontId="0" fillId="0" borderId="52" xfId="0" applyBorder="1"/>
    <xf numFmtId="0" fontId="0" fillId="0" borderId="56" xfId="0" applyBorder="1"/>
    <xf numFmtId="0" fontId="0" fillId="0" borderId="63" xfId="0" applyBorder="1"/>
    <xf numFmtId="0" fontId="0" fillId="0" borderId="51" xfId="0" applyBorder="1"/>
    <xf numFmtId="0" fontId="0" fillId="0" borderId="65" xfId="0" applyBorder="1"/>
    <xf numFmtId="2" fontId="0" fillId="0" borderId="27" xfId="0" applyNumberFormat="1" applyBorder="1"/>
    <xf numFmtId="164" fontId="0" fillId="0" borderId="27" xfId="0" applyNumberFormat="1" applyBorder="1"/>
    <xf numFmtId="9" fontId="0" fillId="0" borderId="0" xfId="0" applyNumberFormat="1" applyBorder="1"/>
    <xf numFmtId="2" fontId="0" fillId="0" borderId="37" xfId="0" applyNumberFormat="1" applyBorder="1"/>
    <xf numFmtId="2" fontId="0" fillId="0" borderId="35" xfId="0" applyNumberFormat="1" applyBorder="1"/>
    <xf numFmtId="2" fontId="0" fillId="0" borderId="2" xfId="0" applyNumberFormat="1" applyBorder="1"/>
    <xf numFmtId="2" fontId="0" fillId="0" borderId="39" xfId="0" applyNumberFormat="1" applyBorder="1"/>
    <xf numFmtId="2" fontId="1" fillId="0" borderId="43" xfId="0" applyNumberFormat="1" applyFont="1" applyBorder="1"/>
    <xf numFmtId="2" fontId="0" fillId="0" borderId="4" xfId="0" applyNumberFormat="1" applyBorder="1"/>
    <xf numFmtId="2" fontId="0" fillId="0" borderId="40" xfId="0" applyNumberFormat="1" applyBorder="1"/>
    <xf numFmtId="2" fontId="1" fillId="0" borderId="44" xfId="0" applyNumberFormat="1" applyFont="1" applyBorder="1"/>
    <xf numFmtId="2" fontId="0" fillId="0" borderId="28" xfId="0" applyNumberFormat="1" applyBorder="1"/>
    <xf numFmtId="2" fontId="0" fillId="0" borderId="42" xfId="0" applyNumberFormat="1" applyBorder="1"/>
    <xf numFmtId="2" fontId="1" fillId="0" borderId="30" xfId="0" applyNumberFormat="1" applyFont="1" applyBorder="1"/>
    <xf numFmtId="2" fontId="0" fillId="0" borderId="32" xfId="0" applyNumberFormat="1" applyBorder="1"/>
    <xf numFmtId="2" fontId="0" fillId="0" borderId="33" xfId="0" applyNumberFormat="1" applyBorder="1"/>
    <xf numFmtId="2" fontId="1" fillId="0" borderId="41" xfId="0" applyNumberFormat="1" applyFont="1" applyBorder="1"/>
    <xf numFmtId="2" fontId="0" fillId="0" borderId="0" xfId="0" applyNumberFormat="1" applyBorder="1"/>
    <xf numFmtId="2" fontId="0" fillId="0" borderId="59" xfId="0" applyNumberFormat="1" applyBorder="1"/>
    <xf numFmtId="2" fontId="0" fillId="0" borderId="52" xfId="0" applyNumberFormat="1" applyBorder="1"/>
    <xf numFmtId="2" fontId="0" fillId="0" borderId="61" xfId="0" applyNumberFormat="1" applyBorder="1"/>
    <xf numFmtId="2" fontId="0" fillId="0" borderId="60" xfId="0" applyNumberFormat="1" applyBorder="1"/>
    <xf numFmtId="2" fontId="0" fillId="0" borderId="67" xfId="0" applyNumberFormat="1" applyBorder="1"/>
    <xf numFmtId="2" fontId="0" fillId="0" borderId="64" xfId="0" applyNumberFormat="1" applyBorder="1"/>
    <xf numFmtId="2" fontId="0" fillId="0" borderId="5" xfId="0" applyNumberFormat="1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1" fillId="0" borderId="0" xfId="0" applyFont="1"/>
    <xf numFmtId="0" fontId="1" fillId="0" borderId="48" xfId="0" applyFont="1" applyBorder="1"/>
    <xf numFmtId="0" fontId="0" fillId="0" borderId="48" xfId="0" applyBorder="1"/>
    <xf numFmtId="0" fontId="4" fillId="0" borderId="71" xfId="0" applyFont="1" applyBorder="1"/>
    <xf numFmtId="0" fontId="4" fillId="0" borderId="72" xfId="0" applyFont="1" applyBorder="1"/>
    <xf numFmtId="0" fontId="4" fillId="0" borderId="73" xfId="0" applyFont="1" applyBorder="1"/>
    <xf numFmtId="0" fontId="0" fillId="0" borderId="74" xfId="0" applyFont="1" applyBorder="1" applyAlignment="1">
      <alignment horizontal="center" vertical="center"/>
    </xf>
    <xf numFmtId="0" fontId="0" fillId="0" borderId="75" xfId="0" applyFont="1" applyBorder="1" applyAlignment="1">
      <alignment horizontal="center" vertical="center"/>
    </xf>
    <xf numFmtId="0" fontId="4" fillId="0" borderId="73" xfId="0" applyFont="1" applyBorder="1" applyAlignment="1">
      <alignment wrapText="1"/>
    </xf>
    <xf numFmtId="0" fontId="0" fillId="0" borderId="76" xfId="0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4" fillId="0" borderId="0" xfId="0" applyFont="1"/>
    <xf numFmtId="14" fontId="6" fillId="0" borderId="85" xfId="0" applyNumberFormat="1" applyFont="1" applyBorder="1" applyAlignment="1">
      <alignment horizontal="center" vertical="center" wrapText="1"/>
    </xf>
    <xf numFmtId="14" fontId="6" fillId="0" borderId="86" xfId="0" applyNumberFormat="1" applyFont="1" applyBorder="1" applyAlignment="1">
      <alignment horizontal="center" vertical="center"/>
    </xf>
    <xf numFmtId="14" fontId="6" fillId="0" borderId="87" xfId="0" applyNumberFormat="1" applyFont="1" applyBorder="1" applyAlignment="1">
      <alignment horizontal="center" vertical="center"/>
    </xf>
    <xf numFmtId="0" fontId="6" fillId="0" borderId="89" xfId="0" applyFont="1" applyBorder="1" applyAlignment="1">
      <alignment horizontal="center" vertical="center" wrapText="1"/>
    </xf>
    <xf numFmtId="0" fontId="6" fillId="0" borderId="9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4" xfId="0" applyFont="1" applyBorder="1"/>
    <xf numFmtId="0" fontId="7" fillId="0" borderId="85" xfId="0" applyFont="1" applyBorder="1"/>
    <xf numFmtId="0" fontId="7" fillId="0" borderId="86" xfId="0" applyFont="1" applyBorder="1"/>
    <xf numFmtId="0" fontId="7" fillId="0" borderId="5" xfId="0" applyFont="1" applyBorder="1"/>
    <xf numFmtId="0" fontId="6" fillId="0" borderId="6" xfId="0" applyFont="1" applyBorder="1"/>
    <xf numFmtId="0" fontId="7" fillId="0" borderId="95" xfId="0" applyFont="1" applyBorder="1"/>
    <xf numFmtId="0" fontId="7" fillId="0" borderId="96" xfId="0" applyFont="1" applyBorder="1"/>
    <xf numFmtId="0" fontId="7" fillId="0" borderId="7" xfId="0" applyFont="1" applyBorder="1"/>
    <xf numFmtId="0" fontId="0" fillId="0" borderId="83" xfId="0" applyBorder="1"/>
    <xf numFmtId="0" fontId="0" fillId="0" borderId="88" xfId="0" applyBorder="1"/>
    <xf numFmtId="0" fontId="0" fillId="0" borderId="94" xfId="0" applyBorder="1"/>
    <xf numFmtId="0" fontId="0" fillId="0" borderId="93" xfId="0" applyBorder="1"/>
    <xf numFmtId="0" fontId="0" fillId="0" borderId="97" xfId="0" applyBorder="1"/>
    <xf numFmtId="0" fontId="1" fillId="0" borderId="1" xfId="0" applyFont="1" applyBorder="1"/>
    <xf numFmtId="0" fontId="0" fillId="0" borderId="1" xfId="0" applyBorder="1"/>
    <xf numFmtId="0" fontId="0" fillId="0" borderId="1" xfId="0" applyFill="1" applyBorder="1"/>
    <xf numFmtId="0" fontId="0" fillId="0" borderId="1" xfId="0" applyNumberFormat="1" applyBorder="1"/>
    <xf numFmtId="0" fontId="0" fillId="0" borderId="1" xfId="0" applyNumberFormat="1" applyFill="1" applyBorder="1"/>
    <xf numFmtId="0" fontId="0" fillId="0" borderId="47" xfId="0" applyBorder="1" applyAlignment="1">
      <alignment horizontal="right"/>
    </xf>
    <xf numFmtId="0" fontId="1" fillId="0" borderId="36" xfId="0" applyFont="1" applyBorder="1"/>
    <xf numFmtId="0" fontId="1" fillId="0" borderId="55" xfId="0" applyFont="1" applyBorder="1" applyAlignment="1">
      <alignment horizontal="center" vertical="center" wrapText="1"/>
    </xf>
    <xf numFmtId="0" fontId="1" fillId="0" borderId="66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0" fillId="0" borderId="0" xfId="0" applyFont="1"/>
    <xf numFmtId="0" fontId="0" fillId="0" borderId="100" xfId="0" applyBorder="1"/>
    <xf numFmtId="0" fontId="0" fillId="0" borderId="101" xfId="0" applyBorder="1"/>
    <xf numFmtId="0" fontId="0" fillId="0" borderId="102" xfId="0" applyBorder="1"/>
    <xf numFmtId="0" fontId="0" fillId="0" borderId="103" xfId="0" applyBorder="1"/>
    <xf numFmtId="0" fontId="0" fillId="0" borderId="104" xfId="0" applyBorder="1"/>
    <xf numFmtId="0" fontId="0" fillId="0" borderId="105" xfId="0" applyBorder="1"/>
    <xf numFmtId="0" fontId="0" fillId="0" borderId="106" xfId="0" applyBorder="1"/>
    <xf numFmtId="0" fontId="0" fillId="0" borderId="107" xfId="0" applyBorder="1"/>
    <xf numFmtId="0" fontId="0" fillId="0" borderId="58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51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0" fillId="0" borderId="58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0" fontId="9" fillId="0" borderId="49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7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65" xfId="0" applyFont="1" applyBorder="1" applyAlignment="1">
      <alignment horizontal="center" vertical="center" wrapText="1"/>
    </xf>
    <xf numFmtId="0" fontId="1" fillId="0" borderId="66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45" xfId="0" applyFont="1" applyBorder="1" applyAlignment="1">
      <alignment horizontal="right"/>
    </xf>
    <xf numFmtId="0" fontId="8" fillId="0" borderId="98" xfId="0" applyFont="1" applyBorder="1" applyAlignment="1">
      <alignment horizontal="right"/>
    </xf>
    <xf numFmtId="0" fontId="8" fillId="0" borderId="6" xfId="0" applyFont="1" applyBorder="1" applyAlignment="1">
      <alignment horizontal="right"/>
    </xf>
    <xf numFmtId="0" fontId="8" fillId="0" borderId="46" xfId="0" applyFont="1" applyBorder="1" applyAlignment="1">
      <alignment horizontal="right"/>
    </xf>
    <xf numFmtId="0" fontId="8" fillId="0" borderId="99" xfId="0" applyFont="1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7" xfId="0" applyBorder="1" applyAlignment="1">
      <alignment horizontal="right"/>
    </xf>
    <xf numFmtId="0" fontId="5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80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82" xfId="0" applyFont="1" applyBorder="1" applyAlignment="1">
      <alignment horizontal="center" vertical="center"/>
    </xf>
    <xf numFmtId="0" fontId="1" fillId="0" borderId="83" xfId="0" applyFont="1" applyBorder="1" applyAlignment="1">
      <alignment horizontal="center" vertical="center" wrapText="1"/>
    </xf>
    <xf numFmtId="0" fontId="1" fillId="0" borderId="88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vertical="center" wrapText="1"/>
    </xf>
    <xf numFmtId="0" fontId="1" fillId="0" borderId="93" xfId="0" applyFont="1" applyBorder="1" applyAlignment="1">
      <alignment horizontal="center" vertical="center" wrapText="1"/>
    </xf>
    <xf numFmtId="0" fontId="1" fillId="0" borderId="94" xfId="0" applyFont="1" applyBorder="1" applyAlignment="1">
      <alignment horizontal="center" vertical="center" wrapText="1"/>
    </xf>
    <xf numFmtId="0" fontId="1" fillId="0" borderId="97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65" fontId="0" fillId="0" borderId="63" xfId="0" applyNumberFormat="1" applyBorder="1" applyAlignment="1">
      <alignment horizontal="center" vertical="center" textRotation="90"/>
    </xf>
    <xf numFmtId="165" fontId="0" fillId="0" borderId="62" xfId="0" applyNumberFormat="1" applyBorder="1" applyAlignment="1">
      <alignment horizontal="center" vertical="center" textRotation="90"/>
    </xf>
    <xf numFmtId="0" fontId="0" fillId="0" borderId="63" xfId="0" applyBorder="1" applyAlignment="1">
      <alignment horizontal="center" vertical="center" textRotation="90"/>
    </xf>
    <xf numFmtId="0" fontId="0" fillId="0" borderId="62" xfId="0" applyBorder="1" applyAlignment="1">
      <alignment horizontal="center" vertical="center" textRotation="90"/>
    </xf>
    <xf numFmtId="0" fontId="0" fillId="0" borderId="65" xfId="0" applyBorder="1" applyAlignment="1">
      <alignment wrapText="1"/>
    </xf>
    <xf numFmtId="0" fontId="0" fillId="0" borderId="37" xfId="0" applyBorder="1" applyAlignment="1">
      <alignment wrapText="1"/>
    </xf>
  </cellXfs>
  <cellStyles count="1">
    <cellStyle name="Обычный" xfId="0" builtinId="0"/>
  </cellStyles>
  <dxfs count="16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numFmt numFmtId="0" formatCode="General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5361838708068"/>
          <c:y val="3.5084414809791992E-2"/>
          <c:w val="0.79501502125254853"/>
          <c:h val="0.73822757152813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Расчёт!$C$9</c:f>
              <c:strCache>
                <c:ptCount val="1"/>
                <c:pt idx="0">
                  <c:v>Кнопкин Д.Б.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Расчёт!$G$8:$I$8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Расчёт!$G$9:$I$9</c:f>
              <c:numCache>
                <c:formatCode>0.00</c:formatCode>
                <c:ptCount val="3"/>
                <c:pt idx="0">
                  <c:v>3980.7692307692309</c:v>
                </c:pt>
                <c:pt idx="1">
                  <c:v>389.42307692307691</c:v>
                </c:pt>
                <c:pt idx="2">
                  <c:v>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69-4B85-A196-7F324A03FDA9}"/>
            </c:ext>
          </c:extLst>
        </c:ser>
        <c:ser>
          <c:idx val="1"/>
          <c:order val="1"/>
          <c:tx>
            <c:strRef>
              <c:f>Расчёт!$C$10</c:f>
              <c:strCache>
                <c:ptCount val="1"/>
                <c:pt idx="0">
                  <c:v>Хомзин Г.Д.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Расчёт!$G$8:$I$8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Расчёт!$G$10:$I$10</c:f>
              <c:numCache>
                <c:formatCode>0.00</c:formatCode>
                <c:ptCount val="3"/>
                <c:pt idx="0">
                  <c:v>9000</c:v>
                </c:pt>
                <c:pt idx="1">
                  <c:v>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69-4B85-A196-7F324A03FDA9}"/>
            </c:ext>
          </c:extLst>
        </c:ser>
        <c:ser>
          <c:idx val="2"/>
          <c:order val="2"/>
          <c:tx>
            <c:strRef>
              <c:f>Расчёт!$C$11</c:f>
              <c:strCache>
                <c:ptCount val="1"/>
                <c:pt idx="0">
                  <c:v>Рябчикова С.С.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Расчёт!$G$8:$I$8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Расчёт!$G$11:$I$11</c:f>
              <c:numCache>
                <c:formatCode>0.00</c:formatCode>
                <c:ptCount val="3"/>
                <c:pt idx="0">
                  <c:v>3210.4615384615386</c:v>
                </c:pt>
                <c:pt idx="1">
                  <c:v>200.65384615384616</c:v>
                </c:pt>
                <c:pt idx="2">
                  <c:v>1739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69-4B85-A196-7F324A03FDA9}"/>
            </c:ext>
          </c:extLst>
        </c:ser>
        <c:ser>
          <c:idx val="3"/>
          <c:order val="3"/>
          <c:tx>
            <c:strRef>
              <c:f>Расчёт!$C$12</c:f>
              <c:strCache>
                <c:ptCount val="1"/>
                <c:pt idx="0">
                  <c:v>Фёдоров М.Я.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Расчёт!$G$8:$I$8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Расчёт!$G$12:$I$12</c:f>
              <c:numCache>
                <c:formatCode>0.00</c:formatCode>
                <c:ptCount val="3"/>
                <c:pt idx="0">
                  <c:v>8176</c:v>
                </c:pt>
                <c:pt idx="1">
                  <c:v>0</c:v>
                </c:pt>
                <c:pt idx="2">
                  <c:v>1553.44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69-4B85-A196-7F324A03FDA9}"/>
            </c:ext>
          </c:extLst>
        </c:ser>
        <c:ser>
          <c:idx val="4"/>
          <c:order val="4"/>
          <c:tx>
            <c:strRef>
              <c:f>Расчёт!$C$13</c:f>
              <c:strCache>
                <c:ptCount val="1"/>
                <c:pt idx="0">
                  <c:v>Топоров Г.Г.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Расчёт!$G$8:$I$8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Расчёт!$G$13:$I$13</c:f>
              <c:numCache>
                <c:formatCode>0.00</c:formatCode>
                <c:ptCount val="3"/>
                <c:pt idx="0">
                  <c:v>1867</c:v>
                </c:pt>
                <c:pt idx="1">
                  <c:v>0</c:v>
                </c:pt>
                <c:pt idx="2">
                  <c:v>1680.3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69-4B85-A196-7F324A03FDA9}"/>
            </c:ext>
          </c:extLst>
        </c:ser>
        <c:ser>
          <c:idx val="5"/>
          <c:order val="5"/>
          <c:tx>
            <c:strRef>
              <c:f>Расчёт!$C$14</c:f>
              <c:strCache>
                <c:ptCount val="1"/>
                <c:pt idx="0">
                  <c:v>Витяев А.К.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Расчёт!$G$8:$I$8</c:f>
              <c:strCache>
                <c:ptCount val="3"/>
                <c:pt idx="0">
                  <c:v>По рабочим дням</c:v>
                </c:pt>
                <c:pt idx="1">
                  <c:v>По больничному</c:v>
                </c:pt>
                <c:pt idx="2">
                  <c:v>Премия</c:v>
                </c:pt>
              </c:strCache>
            </c:strRef>
          </c:cat>
          <c:val>
            <c:numRef>
              <c:f>Расчёт!$G$14:$I$14</c:f>
              <c:numCache>
                <c:formatCode>0.00</c:formatCode>
                <c:ptCount val="3"/>
                <c:pt idx="0">
                  <c:v>5683.1923076923076</c:v>
                </c:pt>
                <c:pt idx="1">
                  <c:v>1570.3557692307693</c:v>
                </c:pt>
                <c:pt idx="2">
                  <c:v>544.3900000000001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69-4B85-A196-7F324A03F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788304"/>
        <c:axId val="539791256"/>
      </c:barChart>
      <c:catAx>
        <c:axId val="539788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791256"/>
        <c:crosses val="autoZero"/>
        <c:auto val="1"/>
        <c:lblAlgn val="ctr"/>
        <c:lblOffset val="100"/>
        <c:noMultiLvlLbl val="0"/>
      </c:catAx>
      <c:valAx>
        <c:axId val="53979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978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826594173216107"/>
          <c:y val="0.88209125212685147"/>
          <c:w val="0.53294203038133914"/>
          <c:h val="0.1179087478731486"/>
        </c:manualLayout>
      </c:layout>
      <c:overlay val="0"/>
      <c:spPr>
        <a:noFill/>
        <a:ln w="2540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358588</xdr:colOff>
      <xdr:row>2</xdr:row>
      <xdr:rowOff>74705</xdr:rowOff>
    </xdr:from>
    <xdr:to>
      <xdr:col>14</xdr:col>
      <xdr:colOff>514350</xdr:colOff>
      <xdr:row>23</xdr:row>
      <xdr:rowOff>134471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24</xdr:row>
          <xdr:rowOff>171450</xdr:rowOff>
        </xdr:from>
        <xdr:to>
          <xdr:col>14</xdr:col>
          <xdr:colOff>450850</xdr:colOff>
          <xdr:row>26</xdr:row>
          <xdr:rowOff>114300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24</xdr:row>
          <xdr:rowOff>171450</xdr:rowOff>
        </xdr:from>
        <xdr:to>
          <xdr:col>2</xdr:col>
          <xdr:colOff>44450</xdr:colOff>
          <xdr:row>26</xdr:row>
          <xdr:rowOff>114300</xdr:rowOff>
        </xdr:to>
        <xdr:sp macro="" textlink="">
          <xdr:nvSpPr>
            <xdr:cNvPr id="9220" name="CommandButton2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24</xdr:row>
          <xdr:rowOff>171450</xdr:rowOff>
        </xdr:from>
        <xdr:to>
          <xdr:col>14</xdr:col>
          <xdr:colOff>450850</xdr:colOff>
          <xdr:row>26</xdr:row>
          <xdr:rowOff>114300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FBE8EFE1-4A39-4DC9-BE23-7DA24A410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24</xdr:row>
          <xdr:rowOff>171450</xdr:rowOff>
        </xdr:from>
        <xdr:to>
          <xdr:col>2</xdr:col>
          <xdr:colOff>44450</xdr:colOff>
          <xdr:row>26</xdr:row>
          <xdr:rowOff>114300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6F14F8C2-47BD-4761-B9C9-7CAFF2240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24</xdr:row>
          <xdr:rowOff>171450</xdr:rowOff>
        </xdr:from>
        <xdr:to>
          <xdr:col>14</xdr:col>
          <xdr:colOff>450850</xdr:colOff>
          <xdr:row>26</xdr:row>
          <xdr:rowOff>114300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D6DF644F-7368-4437-86A1-408F9E6C4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24</xdr:row>
          <xdr:rowOff>171450</xdr:rowOff>
        </xdr:from>
        <xdr:to>
          <xdr:col>2</xdr:col>
          <xdr:colOff>44450</xdr:colOff>
          <xdr:row>26</xdr:row>
          <xdr:rowOff>114300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4EA41755-4FAE-4062-A1F8-13EF0AE8F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146050</xdr:colOff>
          <xdr:row>24</xdr:row>
          <xdr:rowOff>171450</xdr:rowOff>
        </xdr:from>
        <xdr:to>
          <xdr:col>14</xdr:col>
          <xdr:colOff>450850</xdr:colOff>
          <xdr:row>26</xdr:row>
          <xdr:rowOff>114300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695FDECA-1082-441A-AB2D-1D835C948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24</xdr:row>
          <xdr:rowOff>171450</xdr:rowOff>
        </xdr:from>
        <xdr:to>
          <xdr:col>2</xdr:col>
          <xdr:colOff>44450</xdr:colOff>
          <xdr:row>26</xdr:row>
          <xdr:rowOff>114300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DDAD2AF6-D627-4F49-BC85-4C88B406D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ru.wikipedia.org/wiki/%D0%A1%D0%BF%D0%B0%D1%80%D1%82%D0%B0%D0%BA_(%D1%84%D1%83%D1%82%D0%B1%D0%BE%D0%BB%D1%8C%D0%BD%D1%8B%D0%B9_%D0%BA%D0%BB%D1%83%D0%B1,_%D0%9C%D0%BE%D1%81%D0%BA%D0%B2%D0%B0)" TargetMode="External"/><Relationship Id="rId1" Type="http://schemas.openxmlformats.org/officeDocument/2006/relationships/hyperlink" Target="https://ru.wikipedia.org/wiki/%D0%A1%D0%BF%D0%B0%D1%80%D1%82%D0%B0%D0%BA_(%D1%84%D1%83%D1%82%D0%B1%D0%BE%D0%BB%D1%8C%D0%BD%D1%8B%D0%B9_%D0%BA%D0%BB%D1%83%D0%B1,_%D0%9C%D0%BE%D1%81%D0%BA%D0%B2%D0%B0)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641A-F7DA-4616-A5D8-CA0FF9E3337F}">
  <sheetPr codeName="Лист2"/>
  <dimension ref="A1:N14"/>
  <sheetViews>
    <sheetView showZeros="0" zoomScaleNormal="100" workbookViewId="0">
      <selection activeCell="J15" sqref="J15"/>
    </sheetView>
  </sheetViews>
  <sheetFormatPr defaultRowHeight="14.5" x14ac:dyDescent="0.35"/>
  <cols>
    <col min="1" max="1" width="5.7265625" customWidth="1"/>
    <col min="2" max="2" width="10.26953125" customWidth="1"/>
    <col min="3" max="3" width="8.90625" customWidth="1"/>
    <col min="4" max="4" width="11.7265625" customWidth="1"/>
    <col min="5" max="5" width="14.26953125" customWidth="1"/>
    <col min="6" max="6" width="7.54296875" customWidth="1"/>
    <col min="7" max="7" width="11.54296875" customWidth="1"/>
    <col min="8" max="8" width="12.54296875" customWidth="1"/>
    <col min="9" max="9" width="13.26953125" customWidth="1"/>
    <col min="10" max="10" width="13" customWidth="1"/>
    <col min="11" max="11" width="9.453125" customWidth="1"/>
    <col min="12" max="12" width="9.08984375" customWidth="1"/>
    <col min="14" max="14" width="8.7265625" style="8"/>
  </cols>
  <sheetData>
    <row r="1" spans="1:13" ht="15.5" x14ac:dyDescent="0.35">
      <c r="A1" s="124" t="s">
        <v>25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3" x14ac:dyDescent="0.35">
      <c r="A2" s="8"/>
      <c r="B2" s="8"/>
      <c r="C2" s="8"/>
      <c r="D2" s="8"/>
      <c r="E2" s="125" t="s">
        <v>171</v>
      </c>
      <c r="F2" s="125"/>
      <c r="G2" s="125"/>
      <c r="H2" s="125" t="s">
        <v>170</v>
      </c>
      <c r="I2" s="125"/>
      <c r="J2" s="125"/>
      <c r="K2" s="8"/>
    </row>
    <row r="3" spans="1:13" ht="15" thickBot="1" x14ac:dyDescent="0.4"/>
    <row r="4" spans="1:13" ht="15.5" thickTop="1" thickBot="1" x14ac:dyDescent="0.4">
      <c r="A4" s="126" t="s">
        <v>26</v>
      </c>
      <c r="B4" s="128" t="s">
        <v>27</v>
      </c>
      <c r="C4" s="130" t="s">
        <v>28</v>
      </c>
      <c r="D4" s="132" t="s">
        <v>29</v>
      </c>
      <c r="E4" s="132" t="s">
        <v>30</v>
      </c>
      <c r="F4" s="134" t="s">
        <v>16</v>
      </c>
      <c r="G4" s="134"/>
      <c r="H4" s="132"/>
      <c r="I4" s="134" t="s">
        <v>31</v>
      </c>
      <c r="J4" s="134"/>
      <c r="K4" s="132"/>
      <c r="L4" s="121" t="s">
        <v>32</v>
      </c>
    </row>
    <row r="5" spans="1:13" ht="29.5" thickBot="1" x14ac:dyDescent="0.4">
      <c r="A5" s="127"/>
      <c r="B5" s="129"/>
      <c r="C5" s="131"/>
      <c r="D5" s="133"/>
      <c r="E5" s="133"/>
      <c r="F5" s="9" t="s">
        <v>13</v>
      </c>
      <c r="G5" s="10" t="s">
        <v>33</v>
      </c>
      <c r="H5" s="11" t="s">
        <v>19</v>
      </c>
      <c r="I5" s="9" t="s">
        <v>34</v>
      </c>
      <c r="J5" s="12" t="s">
        <v>35</v>
      </c>
      <c r="K5" s="13" t="s">
        <v>19</v>
      </c>
      <c r="L5" s="122"/>
    </row>
    <row r="6" spans="1:13" x14ac:dyDescent="0.35">
      <c r="A6" s="14">
        <v>1</v>
      </c>
      <c r="B6" s="15" t="s">
        <v>36</v>
      </c>
      <c r="C6" s="16" t="s">
        <v>37</v>
      </c>
      <c r="D6" s="17" t="s">
        <v>38</v>
      </c>
      <c r="E6" s="17" t="s">
        <v>39</v>
      </c>
      <c r="F6" s="15">
        <v>3850</v>
      </c>
      <c r="G6" s="18">
        <v>40</v>
      </c>
      <c r="H6" s="7">
        <f>F6*(1+G6*0.01)</f>
        <v>5390</v>
      </c>
      <c r="I6" s="41">
        <f>H6 * 0.01</f>
        <v>53.9</v>
      </c>
      <c r="J6" s="42">
        <f>H6 * 0.13</f>
        <v>700.7</v>
      </c>
      <c r="K6" s="42">
        <f>I6 + J6</f>
        <v>754.6</v>
      </c>
      <c r="L6" s="43">
        <f>H6 - K6</f>
        <v>4635.3999999999996</v>
      </c>
      <c r="M6" s="27"/>
    </row>
    <row r="7" spans="1:13" x14ac:dyDescent="0.35">
      <c r="A7" s="14">
        <v>2</v>
      </c>
      <c r="B7" s="15" t="s">
        <v>40</v>
      </c>
      <c r="C7" s="16" t="s">
        <v>41</v>
      </c>
      <c r="D7" s="17" t="s">
        <v>42</v>
      </c>
      <c r="E7" s="17" t="s">
        <v>43</v>
      </c>
      <c r="F7" s="15">
        <v>5700</v>
      </c>
      <c r="G7" s="18">
        <v>60</v>
      </c>
      <c r="H7" s="7">
        <f t="shared" ref="H7:H11" si="0">F7*(1+G7*0.01)</f>
        <v>9120</v>
      </c>
      <c r="I7" s="44">
        <f t="shared" ref="I7:I11" si="1">H7 * 0.01</f>
        <v>91.2</v>
      </c>
      <c r="J7" s="45">
        <f t="shared" ref="J7:J11" si="2">H7 * 0.13</f>
        <v>1185.6000000000001</v>
      </c>
      <c r="K7" s="45">
        <f t="shared" ref="K7:K11" si="3">I7 + J7</f>
        <v>1276.8000000000002</v>
      </c>
      <c r="L7" s="46">
        <f t="shared" ref="L7:L11" si="4">H7 - K7</f>
        <v>7843.2</v>
      </c>
      <c r="M7" s="27"/>
    </row>
    <row r="8" spans="1:13" x14ac:dyDescent="0.35">
      <c r="A8" s="14">
        <v>3</v>
      </c>
      <c r="B8" s="15" t="s">
        <v>44</v>
      </c>
      <c r="C8" s="16" t="s">
        <v>45</v>
      </c>
      <c r="D8" s="17" t="s">
        <v>46</v>
      </c>
      <c r="E8" s="17" t="s">
        <v>47</v>
      </c>
      <c r="F8" s="15">
        <v>5200</v>
      </c>
      <c r="G8" s="18">
        <v>101</v>
      </c>
      <c r="H8" s="7">
        <f t="shared" si="0"/>
        <v>10451.999999999998</v>
      </c>
      <c r="I8" s="47">
        <f t="shared" si="1"/>
        <v>104.51999999999998</v>
      </c>
      <c r="J8" s="7">
        <f t="shared" si="2"/>
        <v>1358.7599999999998</v>
      </c>
      <c r="K8" s="45">
        <f t="shared" si="3"/>
        <v>1463.2799999999997</v>
      </c>
      <c r="L8" s="46">
        <f t="shared" si="4"/>
        <v>8988.7199999999975</v>
      </c>
      <c r="M8" s="27"/>
    </row>
    <row r="9" spans="1:13" x14ac:dyDescent="0.35">
      <c r="A9" s="14">
        <v>4</v>
      </c>
      <c r="B9" s="15" t="s">
        <v>48</v>
      </c>
      <c r="C9" s="16" t="s">
        <v>49</v>
      </c>
      <c r="D9" s="17" t="s">
        <v>38</v>
      </c>
      <c r="E9" s="17" t="s">
        <v>39</v>
      </c>
      <c r="F9" s="15">
        <v>3850</v>
      </c>
      <c r="G9" s="18">
        <v>42</v>
      </c>
      <c r="H9" s="7">
        <f t="shared" si="0"/>
        <v>5467</v>
      </c>
      <c r="I9" s="44">
        <f t="shared" si="1"/>
        <v>54.67</v>
      </c>
      <c r="J9" s="45">
        <f t="shared" si="2"/>
        <v>710.71</v>
      </c>
      <c r="K9" s="45">
        <f t="shared" si="3"/>
        <v>765.38</v>
      </c>
      <c r="L9" s="46">
        <f t="shared" si="4"/>
        <v>4701.62</v>
      </c>
    </row>
    <row r="10" spans="1:13" x14ac:dyDescent="0.35">
      <c r="A10" s="14">
        <v>5</v>
      </c>
      <c r="B10" s="15" t="s">
        <v>50</v>
      </c>
      <c r="C10" s="16" t="s">
        <v>51</v>
      </c>
      <c r="D10" s="17" t="s">
        <v>52</v>
      </c>
      <c r="E10" s="17" t="s">
        <v>53</v>
      </c>
      <c r="F10" s="15">
        <v>3000</v>
      </c>
      <c r="G10" s="18">
        <v>10</v>
      </c>
      <c r="H10" s="7">
        <f t="shared" si="0"/>
        <v>3300.0000000000005</v>
      </c>
      <c r="I10" s="44">
        <f t="shared" si="1"/>
        <v>33.000000000000007</v>
      </c>
      <c r="J10" s="45">
        <f t="shared" si="2"/>
        <v>429.00000000000006</v>
      </c>
      <c r="K10" s="48">
        <f t="shared" si="3"/>
        <v>462.00000000000006</v>
      </c>
      <c r="L10" s="49">
        <f t="shared" si="4"/>
        <v>2838.0000000000005</v>
      </c>
    </row>
    <row r="11" spans="1:13" ht="15" thickBot="1" x14ac:dyDescent="0.4">
      <c r="A11" s="19">
        <v>6</v>
      </c>
      <c r="B11" s="20" t="s">
        <v>54</v>
      </c>
      <c r="C11" s="21" t="s">
        <v>55</v>
      </c>
      <c r="D11" s="22" t="s">
        <v>56</v>
      </c>
      <c r="E11" s="22" t="s">
        <v>57</v>
      </c>
      <c r="F11" s="20">
        <v>2900</v>
      </c>
      <c r="G11" s="23">
        <v>19</v>
      </c>
      <c r="H11" s="40">
        <f t="shared" si="0"/>
        <v>3451</v>
      </c>
      <c r="I11" s="50">
        <f t="shared" si="1"/>
        <v>34.51</v>
      </c>
      <c r="J11" s="51">
        <f t="shared" si="2"/>
        <v>448.63</v>
      </c>
      <c r="K11" s="7">
        <f t="shared" si="3"/>
        <v>483.14</v>
      </c>
      <c r="L11" s="52">
        <f t="shared" si="4"/>
        <v>2967.86</v>
      </c>
    </row>
    <row r="12" spans="1:13" ht="15" thickTop="1" x14ac:dyDescent="0.35">
      <c r="J12" s="26"/>
      <c r="K12" s="26"/>
      <c r="L12" s="26"/>
    </row>
    <row r="13" spans="1:13" x14ac:dyDescent="0.35">
      <c r="E13" s="24" t="s">
        <v>58</v>
      </c>
      <c r="F13" s="123" t="s">
        <v>59</v>
      </c>
      <c r="G13" s="123"/>
      <c r="H13" t="s">
        <v>60</v>
      </c>
    </row>
    <row r="14" spans="1:13" x14ac:dyDescent="0.35">
      <c r="E14" s="24" t="s">
        <v>61</v>
      </c>
      <c r="F14" s="123" t="s">
        <v>59</v>
      </c>
      <c r="G14" s="123"/>
      <c r="H14" t="s">
        <v>62</v>
      </c>
    </row>
  </sheetData>
  <mergeCells count="13">
    <mergeCell ref="L4:L5"/>
    <mergeCell ref="F13:G13"/>
    <mergeCell ref="F14:G14"/>
    <mergeCell ref="A1:K1"/>
    <mergeCell ref="E2:G2"/>
    <mergeCell ref="H2:J2"/>
    <mergeCell ref="A4:A5"/>
    <mergeCell ref="B4:B5"/>
    <mergeCell ref="C4:C5"/>
    <mergeCell ref="D4:D5"/>
    <mergeCell ref="E4:E5"/>
    <mergeCell ref="F4:H4"/>
    <mergeCell ref="I4:K4"/>
  </mergeCells>
  <conditionalFormatting sqref="F6:L11">
    <cfRule type="cellIs" dxfId="15" priority="1" operator="equal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paperSize="9" orientation="landscape" horizontalDpi="0" verticalDpi="0" r:id="rId1"/>
  <headerFooter>
    <oddHeader>&amp;L&amp;F&amp;CАнищенко Анатолий Алексеевич
Вариант №2</oddHeader>
    <oddFooter>&amp;C&amp;D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4B9B2-3F6B-442D-98D9-30AF48DCCD42}">
  <sheetPr codeName="Лист3"/>
  <dimension ref="B1:C5"/>
  <sheetViews>
    <sheetView workbookViewId="0">
      <selection activeCell="F16" sqref="F16"/>
    </sheetView>
  </sheetViews>
  <sheetFormatPr defaultRowHeight="14.5" x14ac:dyDescent="0.35"/>
  <cols>
    <col min="1" max="1" width="8.7265625" customWidth="1"/>
    <col min="2" max="2" width="23.6328125" customWidth="1"/>
    <col min="3" max="3" width="12.1796875" customWidth="1"/>
  </cols>
  <sheetData>
    <row r="1" spans="2:3" ht="15" thickBot="1" x14ac:dyDescent="0.4"/>
    <row r="2" spans="2:3" x14ac:dyDescent="0.35">
      <c r="B2" s="1" t="s">
        <v>0</v>
      </c>
      <c r="C2" s="2" t="s">
        <v>1</v>
      </c>
    </row>
    <row r="3" spans="2:3" x14ac:dyDescent="0.35">
      <c r="B3" s="3" t="s">
        <v>2</v>
      </c>
      <c r="C3" s="4">
        <v>0.13</v>
      </c>
    </row>
    <row r="4" spans="2:3" x14ac:dyDescent="0.35">
      <c r="B4" s="3" t="s">
        <v>3</v>
      </c>
      <c r="C4" s="4">
        <v>0.01</v>
      </c>
    </row>
    <row r="5" spans="2:3" ht="15" thickBot="1" x14ac:dyDescent="0.4">
      <c r="B5" s="5" t="s">
        <v>4</v>
      </c>
      <c r="C5" s="6">
        <v>0.75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2EB7-EA40-479B-AD0C-759003D35FED}">
  <sheetPr codeName="Лист4"/>
  <dimension ref="A2:O18"/>
  <sheetViews>
    <sheetView workbookViewId="0">
      <selection activeCell="H9" sqref="H9"/>
    </sheetView>
  </sheetViews>
  <sheetFormatPr defaultRowHeight="14.5" x14ac:dyDescent="0.35"/>
  <cols>
    <col min="3" max="3" width="13.453125" customWidth="1"/>
    <col min="7" max="7" width="12.90625" customWidth="1"/>
    <col min="8" max="8" width="10.26953125" bestFit="1" customWidth="1"/>
    <col min="9" max="9" width="12.36328125" customWidth="1"/>
  </cols>
  <sheetData>
    <row r="2" spans="1:15" x14ac:dyDescent="0.35">
      <c r="B2" t="s">
        <v>5</v>
      </c>
      <c r="C2" t="s">
        <v>8</v>
      </c>
    </row>
    <row r="3" spans="1:15" x14ac:dyDescent="0.35">
      <c r="B3" t="s">
        <v>6</v>
      </c>
      <c r="C3" t="s">
        <v>9</v>
      </c>
    </row>
    <row r="4" spans="1:15" x14ac:dyDescent="0.35">
      <c r="B4" t="s">
        <v>7</v>
      </c>
      <c r="C4">
        <v>26</v>
      </c>
    </row>
    <row r="5" spans="1:15" ht="15" thickBot="1" x14ac:dyDescent="0.4"/>
    <row r="6" spans="1:15" ht="19" thickTop="1" thickBot="1" x14ac:dyDescent="0.4">
      <c r="A6" s="31"/>
      <c r="B6" s="140" t="s">
        <v>10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2"/>
    </row>
    <row r="7" spans="1:15" ht="15" thickTop="1" x14ac:dyDescent="0.35">
      <c r="A7" s="31"/>
      <c r="B7" s="145" t="s">
        <v>11</v>
      </c>
      <c r="C7" s="147" t="s">
        <v>12</v>
      </c>
      <c r="D7" s="147" t="s">
        <v>13</v>
      </c>
      <c r="E7" s="143" t="s">
        <v>14</v>
      </c>
      <c r="F7" s="150" t="s">
        <v>15</v>
      </c>
      <c r="G7" s="143" t="s">
        <v>16</v>
      </c>
      <c r="H7" s="143"/>
      <c r="I7" s="143"/>
      <c r="J7" s="143"/>
      <c r="K7" s="144" t="s">
        <v>20</v>
      </c>
      <c r="L7" s="143"/>
      <c r="M7" s="135"/>
      <c r="N7" s="135" t="s">
        <v>23</v>
      </c>
    </row>
    <row r="8" spans="1:15" ht="44" thickBot="1" x14ac:dyDescent="0.4">
      <c r="A8" s="31"/>
      <c r="B8" s="146"/>
      <c r="C8" s="148"/>
      <c r="D8" s="148"/>
      <c r="E8" s="149"/>
      <c r="F8" s="151"/>
      <c r="G8" s="104" t="s">
        <v>17</v>
      </c>
      <c r="H8" s="105" t="s">
        <v>18</v>
      </c>
      <c r="I8" s="105" t="s">
        <v>14</v>
      </c>
      <c r="J8" s="106" t="s">
        <v>19</v>
      </c>
      <c r="K8" s="107" t="s">
        <v>21</v>
      </c>
      <c r="L8" s="105" t="s">
        <v>22</v>
      </c>
      <c r="M8" s="108" t="s">
        <v>19</v>
      </c>
      <c r="N8" s="136"/>
    </row>
    <row r="9" spans="1:15" ht="29.5" thickTop="1" x14ac:dyDescent="0.35">
      <c r="A9" s="31"/>
      <c r="B9" s="37">
        <v>7</v>
      </c>
      <c r="C9" s="182" t="s">
        <v>63</v>
      </c>
      <c r="D9" s="35">
        <v>4500</v>
      </c>
      <c r="E9" s="38">
        <v>0.47</v>
      </c>
      <c r="F9" s="61">
        <v>3</v>
      </c>
      <c r="G9" s="60">
        <f>($C$4-F9)*D9/$C$4</f>
        <v>3980.7692307692309</v>
      </c>
      <c r="H9" s="39">
        <f>(F9)*D9*Справочник!$C$5/$C$4</f>
        <v>389.42307692307691</v>
      </c>
      <c r="I9" s="39">
        <f>D9*E9</f>
        <v>2115</v>
      </c>
      <c r="J9" s="53">
        <f>SUM(G9:I9)</f>
        <v>6485.1923076923076</v>
      </c>
      <c r="K9" s="36">
        <f>J9*Справочник!$C$3</f>
        <v>843.07500000000005</v>
      </c>
      <c r="L9" s="36">
        <f>J9*Справочник!$C$4</f>
        <v>64.851923076923072</v>
      </c>
      <c r="M9" s="55">
        <f>SUM(K9:L9)</f>
        <v>907.92692307692312</v>
      </c>
      <c r="N9" s="55">
        <f>J9-M9</f>
        <v>5577.2653846153844</v>
      </c>
    </row>
    <row r="10" spans="1:15" ht="29" x14ac:dyDescent="0.35">
      <c r="A10" s="31"/>
      <c r="B10" s="37">
        <v>9</v>
      </c>
      <c r="C10" s="183" t="s">
        <v>64</v>
      </c>
      <c r="D10" s="25">
        <v>9000</v>
      </c>
      <c r="E10" s="38">
        <v>0.01</v>
      </c>
      <c r="F10" s="62">
        <v>0</v>
      </c>
      <c r="G10" s="60">
        <f t="shared" ref="G10:G14" si="0">($C$4-F10)*D10/$C$4</f>
        <v>9000</v>
      </c>
      <c r="H10" s="39">
        <f>(F10)*D10*Справочник!$C$5/$C$4</f>
        <v>0</v>
      </c>
      <c r="I10" s="39">
        <f t="shared" ref="I10:I14" si="1">D10*E10</f>
        <v>90</v>
      </c>
      <c r="J10" s="53">
        <f t="shared" ref="J10:J14" si="2">SUM(G10:I10)</f>
        <v>9090</v>
      </c>
      <c r="K10" s="36">
        <f>J10*Справочник!$C$3</f>
        <v>1181.7</v>
      </c>
      <c r="L10" s="36">
        <f>J10*Справочник!$C$4</f>
        <v>90.9</v>
      </c>
      <c r="M10" s="55">
        <f t="shared" ref="M10:M14" si="3">SUM(K10:L10)</f>
        <v>1272.6000000000001</v>
      </c>
      <c r="N10" s="55">
        <f t="shared" ref="N10:N14" si="4">J10-M10</f>
        <v>7817.4</v>
      </c>
    </row>
    <row r="11" spans="1:15" ht="29" x14ac:dyDescent="0.35">
      <c r="A11" s="31"/>
      <c r="B11" s="37">
        <v>36</v>
      </c>
      <c r="C11" s="183" t="s">
        <v>65</v>
      </c>
      <c r="D11" s="25">
        <v>3478</v>
      </c>
      <c r="E11" s="38">
        <v>0.5</v>
      </c>
      <c r="F11" s="62">
        <v>2</v>
      </c>
      <c r="G11" s="60">
        <f t="shared" si="0"/>
        <v>3210.4615384615386</v>
      </c>
      <c r="H11" s="39">
        <f>(F11)*D11*Справочник!$C$5/$C$4</f>
        <v>200.65384615384616</v>
      </c>
      <c r="I11" s="39">
        <f t="shared" si="1"/>
        <v>1739</v>
      </c>
      <c r="J11" s="53">
        <f t="shared" si="2"/>
        <v>5150.1153846153848</v>
      </c>
      <c r="K11" s="36">
        <f>J11*Справочник!$C$3</f>
        <v>669.51499999999999</v>
      </c>
      <c r="L11" s="36">
        <f>J11*Справочник!$C$4</f>
        <v>51.501153846153848</v>
      </c>
      <c r="M11" s="55">
        <f t="shared" si="3"/>
        <v>721.01615384615388</v>
      </c>
      <c r="N11" s="55">
        <f t="shared" si="4"/>
        <v>4429.0992307692304</v>
      </c>
    </row>
    <row r="12" spans="1:15" ht="29" x14ac:dyDescent="0.35">
      <c r="A12" s="31"/>
      <c r="B12" s="37">
        <v>106</v>
      </c>
      <c r="C12" s="183" t="s">
        <v>66</v>
      </c>
      <c r="D12" s="25">
        <v>8176</v>
      </c>
      <c r="E12" s="38">
        <v>0.19</v>
      </c>
      <c r="F12" s="62">
        <v>0</v>
      </c>
      <c r="G12" s="60">
        <f t="shared" si="0"/>
        <v>8176</v>
      </c>
      <c r="H12" s="39">
        <f>(F12)*D12*Справочник!$C$5/$C$4</f>
        <v>0</v>
      </c>
      <c r="I12" s="39">
        <f t="shared" si="1"/>
        <v>1553.44</v>
      </c>
      <c r="J12" s="53">
        <f t="shared" si="2"/>
        <v>9729.44</v>
      </c>
      <c r="K12" s="36">
        <f>J12*Справочник!$C$3</f>
        <v>1264.8272000000002</v>
      </c>
      <c r="L12" s="36">
        <f>J12*Справочник!$C$4</f>
        <v>97.29440000000001</v>
      </c>
      <c r="M12" s="55">
        <f t="shared" si="3"/>
        <v>1362.1216000000002</v>
      </c>
      <c r="N12" s="55">
        <f t="shared" si="4"/>
        <v>8367.3184000000001</v>
      </c>
    </row>
    <row r="13" spans="1:15" ht="29" x14ac:dyDescent="0.35">
      <c r="B13" s="37">
        <v>356</v>
      </c>
      <c r="C13" s="183" t="s">
        <v>67</v>
      </c>
      <c r="D13" s="25">
        <v>1867</v>
      </c>
      <c r="E13" s="38">
        <v>0.9</v>
      </c>
      <c r="F13" s="62">
        <v>0</v>
      </c>
      <c r="G13" s="60">
        <f t="shared" si="0"/>
        <v>1867</v>
      </c>
      <c r="H13" s="39">
        <f>(F13)*D13*Справочник!$C$5/$C$4</f>
        <v>0</v>
      </c>
      <c r="I13" s="39">
        <f t="shared" si="1"/>
        <v>1680.3</v>
      </c>
      <c r="J13" s="53">
        <f t="shared" si="2"/>
        <v>3547.3</v>
      </c>
      <c r="K13" s="36">
        <f>J13*Справочник!$C$3</f>
        <v>461.14900000000006</v>
      </c>
      <c r="L13" s="36">
        <f>J13*Справочник!$C$4</f>
        <v>35.473000000000006</v>
      </c>
      <c r="M13" s="55">
        <f t="shared" si="3"/>
        <v>496.62200000000007</v>
      </c>
      <c r="N13" s="55">
        <f t="shared" si="4"/>
        <v>3050.6779999999999</v>
      </c>
    </row>
    <row r="14" spans="1:15" ht="29.5" thickBot="1" x14ac:dyDescent="0.4">
      <c r="B14" s="37">
        <v>777</v>
      </c>
      <c r="C14" s="183" t="s">
        <v>68</v>
      </c>
      <c r="D14" s="25">
        <v>7777</v>
      </c>
      <c r="E14" s="38">
        <v>7.0000000000000007E-2</v>
      </c>
      <c r="F14" s="63">
        <v>7</v>
      </c>
      <c r="G14" s="60">
        <f t="shared" si="0"/>
        <v>5683.1923076923076</v>
      </c>
      <c r="H14" s="39">
        <f>(F14)*D14*Справочник!$C$5/$C$4</f>
        <v>1570.3557692307693</v>
      </c>
      <c r="I14" s="39">
        <f t="shared" si="1"/>
        <v>544.3900000000001</v>
      </c>
      <c r="J14" s="53">
        <f t="shared" si="2"/>
        <v>7797.9380769230775</v>
      </c>
      <c r="K14" s="36">
        <f>J14*Справочник!$C$3</f>
        <v>1013.7319500000001</v>
      </c>
      <c r="L14" s="36">
        <f>J14*Справочник!$C$4</f>
        <v>77.979380769230772</v>
      </c>
      <c r="M14" s="55">
        <f t="shared" si="3"/>
        <v>1091.7113307692309</v>
      </c>
      <c r="N14" s="55">
        <f t="shared" si="4"/>
        <v>6706.2267461538468</v>
      </c>
    </row>
    <row r="15" spans="1:15" ht="15.5" thickTop="1" thickBot="1" x14ac:dyDescent="0.4">
      <c r="A15" s="8"/>
      <c r="B15" s="137" t="s">
        <v>24</v>
      </c>
      <c r="C15" s="138"/>
      <c r="D15" s="138"/>
      <c r="E15" s="138"/>
      <c r="F15" s="139"/>
      <c r="G15" s="54">
        <f>SUM(G9:G14)</f>
        <v>31917.423076923078</v>
      </c>
      <c r="H15" s="59">
        <f t="shared" ref="H15:N15" si="5">SUM(H9:H14)</f>
        <v>2160.4326923076924</v>
      </c>
      <c r="I15" s="54">
        <f t="shared" si="5"/>
        <v>7722.130000000001</v>
      </c>
      <c r="J15" s="58">
        <f t="shared" si="5"/>
        <v>41799.985769230778</v>
      </c>
      <c r="K15" s="54">
        <f t="shared" si="5"/>
        <v>5433.9981500000004</v>
      </c>
      <c r="L15" s="57">
        <f t="shared" si="5"/>
        <v>417.99985769230773</v>
      </c>
      <c r="M15" s="58">
        <f t="shared" si="5"/>
        <v>5851.9980076923084</v>
      </c>
      <c r="N15" s="56">
        <f t="shared" si="5"/>
        <v>35947.987761538461</v>
      </c>
      <c r="O15" s="33"/>
    </row>
    <row r="16" spans="1:15" ht="15" thickTop="1" x14ac:dyDescent="0.35"/>
    <row r="17" spans="7:9" x14ac:dyDescent="0.35">
      <c r="G17" s="64" t="s">
        <v>139</v>
      </c>
      <c r="H17" s="64" t="s">
        <v>142</v>
      </c>
      <c r="I17" t="s">
        <v>1</v>
      </c>
    </row>
    <row r="18" spans="7:9" x14ac:dyDescent="0.35">
      <c r="G18" s="64" t="s">
        <v>140</v>
      </c>
      <c r="H18" s="64" t="s">
        <v>142</v>
      </c>
      <c r="I18" t="s">
        <v>141</v>
      </c>
    </row>
  </sheetData>
  <mergeCells count="10">
    <mergeCell ref="N7:N8"/>
    <mergeCell ref="B15:F15"/>
    <mergeCell ref="B6:N6"/>
    <mergeCell ref="G7:J7"/>
    <mergeCell ref="K7:M7"/>
    <mergeCell ref="B7:B8"/>
    <mergeCell ref="C7:C8"/>
    <mergeCell ref="D7:D8"/>
    <mergeCell ref="E7:E8"/>
    <mergeCell ref="F7:F8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02197-3B1C-4539-9CF9-92745235D952}">
  <sheetPr codeName="Лист5"/>
  <dimension ref="A1"/>
  <sheetViews>
    <sheetView topLeftCell="A3" zoomScale="85" zoomScaleNormal="85" workbookViewId="0">
      <selection activeCell="F30" sqref="F30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0A45-5FAC-4016-A5AD-CDE32B3D4861}">
  <sheetPr codeName="Лист6"/>
  <dimension ref="A1:H18"/>
  <sheetViews>
    <sheetView zoomScaleNormal="100" workbookViewId="0">
      <selection activeCell="I12" sqref="I12"/>
    </sheetView>
  </sheetViews>
  <sheetFormatPr defaultRowHeight="14.5" x14ac:dyDescent="0.35"/>
  <cols>
    <col min="7" max="7" width="11.54296875" customWidth="1"/>
    <col min="8" max="8" width="15.81640625" customWidth="1"/>
  </cols>
  <sheetData>
    <row r="1" spans="1:8" ht="15" thickBot="1" x14ac:dyDescent="0.4">
      <c r="A1" s="67"/>
      <c r="B1" s="68" t="s">
        <v>97</v>
      </c>
      <c r="C1" s="68" t="s">
        <v>98</v>
      </c>
    </row>
    <row r="2" spans="1:8" x14ac:dyDescent="0.35">
      <c r="A2" s="69" t="s">
        <v>99</v>
      </c>
      <c r="B2" s="70">
        <v>5</v>
      </c>
      <c r="C2" s="71">
        <v>1000</v>
      </c>
    </row>
    <row r="3" spans="1:8" ht="39.5" x14ac:dyDescent="0.35">
      <c r="A3" s="72" t="s">
        <v>100</v>
      </c>
      <c r="B3" s="73">
        <v>4</v>
      </c>
      <c r="C3" s="74">
        <v>400</v>
      </c>
    </row>
    <row r="4" spans="1:8" ht="15" thickBot="1" x14ac:dyDescent="0.4">
      <c r="A4" s="69" t="s">
        <v>101</v>
      </c>
      <c r="B4" s="75">
        <v>4</v>
      </c>
      <c r="C4" s="76">
        <v>0</v>
      </c>
    </row>
    <row r="5" spans="1:8" x14ac:dyDescent="0.35">
      <c r="A5" s="77"/>
      <c r="B5" s="77"/>
      <c r="C5" s="77"/>
    </row>
    <row r="6" spans="1:8" ht="18.5" x14ac:dyDescent="0.45">
      <c r="A6" s="162" t="s">
        <v>102</v>
      </c>
      <c r="B6" s="162"/>
      <c r="C6" s="162"/>
      <c r="D6" s="162"/>
      <c r="E6" s="162"/>
      <c r="F6" s="162"/>
      <c r="G6" s="162"/>
      <c r="H6" s="162"/>
    </row>
    <row r="7" spans="1:8" ht="15" thickBot="1" x14ac:dyDescent="0.4"/>
    <row r="8" spans="1:8" x14ac:dyDescent="0.35">
      <c r="A8" s="163" t="s">
        <v>103</v>
      </c>
      <c r="B8" s="166" t="s">
        <v>104</v>
      </c>
      <c r="C8" s="167"/>
      <c r="D8" s="167"/>
      <c r="E8" s="168"/>
      <c r="F8" s="169" t="s">
        <v>105</v>
      </c>
      <c r="G8" s="172" t="s">
        <v>106</v>
      </c>
      <c r="H8" s="175" t="s">
        <v>98</v>
      </c>
    </row>
    <row r="9" spans="1:8" x14ac:dyDescent="0.35">
      <c r="A9" s="164"/>
      <c r="B9" s="78">
        <f>DATE(2019, 1, 10)</f>
        <v>43475</v>
      </c>
      <c r="C9" s="79">
        <f>DATE(2019, 1, 25)</f>
        <v>43490</v>
      </c>
      <c r="D9" s="79">
        <f>DATE(2019, 1, 15)</f>
        <v>43480</v>
      </c>
      <c r="E9" s="80">
        <f>DATE(2019, 1, 20)</f>
        <v>43485</v>
      </c>
      <c r="F9" s="170"/>
      <c r="G9" s="173"/>
      <c r="H9" s="176"/>
    </row>
    <row r="10" spans="1:8" ht="36.5" thickBot="1" x14ac:dyDescent="0.4">
      <c r="A10" s="165"/>
      <c r="B10" s="81" t="s">
        <v>107</v>
      </c>
      <c r="C10" s="82" t="s">
        <v>108</v>
      </c>
      <c r="D10" s="82" t="s">
        <v>109</v>
      </c>
      <c r="E10" s="83" t="s">
        <v>110</v>
      </c>
      <c r="F10" s="171"/>
      <c r="G10" s="174"/>
      <c r="H10" s="177"/>
    </row>
    <row r="11" spans="1:8" x14ac:dyDescent="0.35">
      <c r="A11" s="84" t="s">
        <v>111</v>
      </c>
      <c r="B11" s="85">
        <v>5</v>
      </c>
      <c r="C11" s="86">
        <v>4</v>
      </c>
      <c r="D11" s="86">
        <v>5</v>
      </c>
      <c r="E11" s="87">
        <v>4</v>
      </c>
      <c r="F11" s="92">
        <f>AVERAGE(B11:E11)</f>
        <v>4.5</v>
      </c>
      <c r="G11" s="95" t="str">
        <f>ROMAN(_xlfn.RANK.EQ(F11, F$11:F$15))</f>
        <v>II</v>
      </c>
      <c r="H11" s="28">
        <f>IF(F11 &gt;= $B$3, IF(F11 = $B$2, $C$2, $C$3), "не начисляется")</f>
        <v>400</v>
      </c>
    </row>
    <row r="12" spans="1:8" x14ac:dyDescent="0.35">
      <c r="A12" s="84" t="s">
        <v>112</v>
      </c>
      <c r="B12" s="85">
        <v>3</v>
      </c>
      <c r="C12" s="86">
        <v>3</v>
      </c>
      <c r="D12" s="86">
        <v>4</v>
      </c>
      <c r="E12" s="87">
        <v>3</v>
      </c>
      <c r="F12" s="93">
        <f t="shared" ref="F12:F15" si="0">AVERAGE(B12:E12)</f>
        <v>3.25</v>
      </c>
      <c r="G12" s="94" t="str">
        <f t="shared" ref="G12:G15" si="1">ROMAN(_xlfn.RANK.EQ(F12, F$11:F$15))</f>
        <v>IV</v>
      </c>
      <c r="H12" s="28" t="str">
        <f t="shared" ref="H12:H15" si="2">IF(F12 &gt;= $B$3, IF(F12 = $B$2, $C$2, $C$3), "не начисляется")</f>
        <v>не начисляется</v>
      </c>
    </row>
    <row r="13" spans="1:8" x14ac:dyDescent="0.35">
      <c r="A13" s="84" t="s">
        <v>113</v>
      </c>
      <c r="B13" s="85">
        <v>3</v>
      </c>
      <c r="C13" s="86">
        <v>3</v>
      </c>
      <c r="D13" s="86">
        <v>3</v>
      </c>
      <c r="E13" s="87">
        <v>4</v>
      </c>
      <c r="F13" s="93">
        <f t="shared" si="0"/>
        <v>3.25</v>
      </c>
      <c r="G13" s="94" t="str">
        <f t="shared" si="1"/>
        <v>IV</v>
      </c>
      <c r="H13" s="28" t="str">
        <f t="shared" si="2"/>
        <v>не начисляется</v>
      </c>
    </row>
    <row r="14" spans="1:8" x14ac:dyDescent="0.35">
      <c r="A14" s="84" t="s">
        <v>114</v>
      </c>
      <c r="B14" s="85">
        <v>4</v>
      </c>
      <c r="C14" s="86">
        <v>5</v>
      </c>
      <c r="D14" s="86">
        <v>4</v>
      </c>
      <c r="E14" s="87">
        <v>4</v>
      </c>
      <c r="F14" s="93">
        <f t="shared" si="0"/>
        <v>4.25</v>
      </c>
      <c r="G14" s="94" t="str">
        <f t="shared" si="1"/>
        <v>III</v>
      </c>
      <c r="H14" s="28">
        <f t="shared" si="2"/>
        <v>400</v>
      </c>
    </row>
    <row r="15" spans="1:8" ht="15" thickBot="1" x14ac:dyDescent="0.4">
      <c r="A15" s="88" t="s">
        <v>115</v>
      </c>
      <c r="B15" s="89">
        <v>5</v>
      </c>
      <c r="C15" s="90">
        <v>5</v>
      </c>
      <c r="D15" s="90">
        <v>5</v>
      </c>
      <c r="E15" s="91">
        <v>5</v>
      </c>
      <c r="F15" s="93">
        <f t="shared" si="0"/>
        <v>5</v>
      </c>
      <c r="G15" s="96" t="str">
        <f t="shared" si="1"/>
        <v>I</v>
      </c>
      <c r="H15" s="29">
        <f t="shared" si="2"/>
        <v>1000</v>
      </c>
    </row>
    <row r="16" spans="1:8" x14ac:dyDescent="0.35">
      <c r="A16" s="152" t="s">
        <v>116</v>
      </c>
      <c r="B16" s="153"/>
      <c r="C16" s="153"/>
      <c r="D16" s="153"/>
      <c r="E16" s="153"/>
      <c r="F16" s="154"/>
      <c r="G16" s="158">
        <f>COUNTIF(F11:F15, "&gt;"&amp;$B$3)</f>
        <v>3</v>
      </c>
      <c r="H16" s="159"/>
    </row>
    <row r="17" spans="1:8" ht="15" thickBot="1" x14ac:dyDescent="0.4">
      <c r="A17" s="155" t="s">
        <v>117</v>
      </c>
      <c r="B17" s="156"/>
      <c r="C17" s="156"/>
      <c r="D17" s="156"/>
      <c r="E17" s="156"/>
      <c r="F17" s="157"/>
      <c r="G17" s="160">
        <f>COUNTIF(F11:F15, "="&amp;$B$2)</f>
        <v>1</v>
      </c>
      <c r="H17" s="161"/>
    </row>
    <row r="18" spans="1:8" x14ac:dyDescent="0.35">
      <c r="G18" s="8"/>
    </row>
  </sheetData>
  <mergeCells count="10">
    <mergeCell ref="A16:F16"/>
    <mergeCell ref="A17:F17"/>
    <mergeCell ref="G16:H16"/>
    <mergeCell ref="G17:H17"/>
    <mergeCell ref="A6:H6"/>
    <mergeCell ref="A8:A10"/>
    <mergeCell ref="B8:E8"/>
    <mergeCell ref="F8:F10"/>
    <mergeCell ref="G8:G10"/>
    <mergeCell ref="H8:H10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46872-49F2-436E-BAEC-439296C539A8}">
  <sheetPr codeName="Лист7"/>
  <dimension ref="A1:J1048576"/>
  <sheetViews>
    <sheetView zoomScaleNormal="100" workbookViewId="0">
      <selection activeCell="G12" sqref="G12"/>
    </sheetView>
  </sheetViews>
  <sheetFormatPr defaultRowHeight="14.5" x14ac:dyDescent="0.35"/>
  <cols>
    <col min="2" max="2" width="21" customWidth="1"/>
  </cols>
  <sheetData>
    <row r="1" spans="1:10" ht="15.5" thickTop="1" thickBot="1" x14ac:dyDescent="0.4">
      <c r="A1" s="65" t="s">
        <v>87</v>
      </c>
      <c r="B1" s="65" t="s">
        <v>88</v>
      </c>
      <c r="C1" s="65" t="s">
        <v>92</v>
      </c>
      <c r="D1" s="65" t="s">
        <v>89</v>
      </c>
      <c r="E1" s="65" t="s">
        <v>90</v>
      </c>
      <c r="F1" s="65" t="s">
        <v>91</v>
      </c>
      <c r="G1" s="65" t="s">
        <v>93</v>
      </c>
      <c r="H1" s="65" t="s">
        <v>94</v>
      </c>
      <c r="I1" s="65" t="s">
        <v>95</v>
      </c>
      <c r="J1" s="65" t="s">
        <v>96</v>
      </c>
    </row>
    <row r="2" spans="1:10" ht="16.5" customHeight="1" thickTop="1" thickBot="1" x14ac:dyDescent="0.4">
      <c r="A2" s="66">
        <v>1</v>
      </c>
      <c r="B2" s="66" t="s">
        <v>69</v>
      </c>
      <c r="C2" s="66">
        <v>34</v>
      </c>
      <c r="D2" s="66">
        <v>21</v>
      </c>
      <c r="E2" s="66">
        <v>9</v>
      </c>
      <c r="F2" s="66">
        <v>4</v>
      </c>
      <c r="G2" s="66">
        <v>70</v>
      </c>
      <c r="H2" s="66">
        <v>34</v>
      </c>
      <c r="I2" s="66">
        <f>G2-H2</f>
        <v>36</v>
      </c>
      <c r="J2" s="66">
        <f>D2*3+E2</f>
        <v>72</v>
      </c>
    </row>
    <row r="3" spans="1:10" ht="15.5" thickTop="1" thickBot="1" x14ac:dyDescent="0.4">
      <c r="A3" s="66">
        <v>2</v>
      </c>
      <c r="B3" s="66" t="s">
        <v>70</v>
      </c>
      <c r="C3" s="66">
        <v>34</v>
      </c>
      <c r="D3" s="66">
        <v>22</v>
      </c>
      <c r="E3" s="66">
        <v>6</v>
      </c>
      <c r="F3" s="66">
        <v>6</v>
      </c>
      <c r="G3" s="66">
        <v>64</v>
      </c>
      <c r="H3" s="66">
        <v>35</v>
      </c>
      <c r="I3" s="66">
        <f t="shared" ref="I3:I19" si="0">G3-H3</f>
        <v>29</v>
      </c>
      <c r="J3" s="66">
        <f t="shared" ref="J3:J19" si="1">D3*3+E3</f>
        <v>72</v>
      </c>
    </row>
    <row r="4" spans="1:10" ht="15.5" thickTop="1" thickBot="1" x14ac:dyDescent="0.4">
      <c r="A4" s="66">
        <v>3</v>
      </c>
      <c r="B4" s="66" t="s">
        <v>71</v>
      </c>
      <c r="C4" s="66">
        <v>34</v>
      </c>
      <c r="D4" s="66">
        <v>21</v>
      </c>
      <c r="E4" s="66">
        <v>7</v>
      </c>
      <c r="F4" s="66">
        <v>6</v>
      </c>
      <c r="G4" s="66">
        <v>58</v>
      </c>
      <c r="H4" s="66">
        <v>27</v>
      </c>
      <c r="I4" s="66">
        <f t="shared" si="0"/>
        <v>31</v>
      </c>
      <c r="J4" s="66">
        <f t="shared" si="1"/>
        <v>70</v>
      </c>
    </row>
    <row r="5" spans="1:10" ht="15.5" thickTop="1" thickBot="1" x14ac:dyDescent="0.4">
      <c r="A5" s="66">
        <v>4</v>
      </c>
      <c r="B5" s="66" t="s">
        <v>72</v>
      </c>
      <c r="C5" s="66">
        <v>34</v>
      </c>
      <c r="D5" s="66">
        <v>20</v>
      </c>
      <c r="E5" s="66">
        <v>7</v>
      </c>
      <c r="F5" s="66">
        <v>7</v>
      </c>
      <c r="G5" s="66">
        <v>60</v>
      </c>
      <c r="H5" s="66">
        <v>35</v>
      </c>
      <c r="I5" s="66">
        <f t="shared" si="0"/>
        <v>25</v>
      </c>
      <c r="J5" s="66">
        <f t="shared" si="1"/>
        <v>67</v>
      </c>
    </row>
    <row r="6" spans="1:10" ht="15.5" thickTop="1" thickBot="1" x14ac:dyDescent="0.4">
      <c r="A6" s="66">
        <v>5</v>
      </c>
      <c r="B6" s="66" t="s">
        <v>73</v>
      </c>
      <c r="C6" s="66">
        <v>34</v>
      </c>
      <c r="D6" s="66">
        <v>20</v>
      </c>
      <c r="E6" s="66">
        <v>6</v>
      </c>
      <c r="F6" s="66">
        <v>8</v>
      </c>
      <c r="G6" s="66">
        <v>58</v>
      </c>
      <c r="H6" s="66">
        <v>35</v>
      </c>
      <c r="I6" s="66">
        <f t="shared" si="0"/>
        <v>23</v>
      </c>
      <c r="J6" s="66">
        <f t="shared" si="1"/>
        <v>66</v>
      </c>
    </row>
    <row r="7" spans="1:10" ht="15.5" thickTop="1" thickBot="1" x14ac:dyDescent="0.4">
      <c r="A7" s="66">
        <v>6</v>
      </c>
      <c r="B7" s="66" t="s">
        <v>74</v>
      </c>
      <c r="C7" s="66">
        <v>34</v>
      </c>
      <c r="D7" s="66">
        <v>15</v>
      </c>
      <c r="E7" s="66">
        <v>10</v>
      </c>
      <c r="F7" s="66">
        <v>9</v>
      </c>
      <c r="G7" s="66">
        <v>46</v>
      </c>
      <c r="H7" s="66">
        <v>31</v>
      </c>
      <c r="I7" s="66">
        <f t="shared" si="0"/>
        <v>15</v>
      </c>
      <c r="J7" s="66">
        <f t="shared" si="1"/>
        <v>55</v>
      </c>
    </row>
    <row r="8" spans="1:10" ht="15.5" thickTop="1" thickBot="1" x14ac:dyDescent="0.4">
      <c r="A8" s="66">
        <v>7</v>
      </c>
      <c r="B8" s="66" t="s">
        <v>75</v>
      </c>
      <c r="C8" s="66">
        <v>34</v>
      </c>
      <c r="D8" s="66">
        <v>12</v>
      </c>
      <c r="E8" s="66">
        <v>10</v>
      </c>
      <c r="F8" s="66">
        <v>12</v>
      </c>
      <c r="G8" s="66">
        <v>44</v>
      </c>
      <c r="H8" s="66">
        <v>35</v>
      </c>
      <c r="I8" s="66">
        <f t="shared" si="0"/>
        <v>9</v>
      </c>
      <c r="J8" s="66">
        <f t="shared" si="1"/>
        <v>46</v>
      </c>
    </row>
    <row r="9" spans="1:10" ht="15.5" thickTop="1" thickBot="1" x14ac:dyDescent="0.4">
      <c r="A9" s="66">
        <v>8</v>
      </c>
      <c r="B9" s="66" t="s">
        <v>76</v>
      </c>
      <c r="C9" s="66">
        <v>34</v>
      </c>
      <c r="D9" s="66">
        <v>13</v>
      </c>
      <c r="E9" s="66">
        <v>6</v>
      </c>
      <c r="F9" s="66">
        <v>15</v>
      </c>
      <c r="G9" s="66">
        <v>39</v>
      </c>
      <c r="H9" s="66">
        <v>50</v>
      </c>
      <c r="I9" s="66">
        <f t="shared" si="0"/>
        <v>-11</v>
      </c>
      <c r="J9" s="66">
        <f t="shared" si="1"/>
        <v>45</v>
      </c>
    </row>
    <row r="10" spans="1:10" ht="15.5" thickTop="1" thickBot="1" x14ac:dyDescent="0.4">
      <c r="A10" s="66">
        <v>9</v>
      </c>
      <c r="B10" s="66" t="s">
        <v>77</v>
      </c>
      <c r="C10" s="66">
        <v>34</v>
      </c>
      <c r="D10" s="66">
        <v>12</v>
      </c>
      <c r="E10" s="66">
        <v>9</v>
      </c>
      <c r="F10" s="66">
        <v>13</v>
      </c>
      <c r="G10" s="66">
        <v>31</v>
      </c>
      <c r="H10" s="66">
        <v>38</v>
      </c>
      <c r="I10" s="66">
        <f t="shared" si="0"/>
        <v>-7</v>
      </c>
      <c r="J10" s="66">
        <f t="shared" si="1"/>
        <v>45</v>
      </c>
    </row>
    <row r="11" spans="1:10" ht="15.5" thickTop="1" thickBot="1" x14ac:dyDescent="0.4">
      <c r="A11" s="66">
        <v>10</v>
      </c>
      <c r="B11" s="66" t="s">
        <v>78</v>
      </c>
      <c r="C11" s="66">
        <v>34</v>
      </c>
      <c r="D11" s="66">
        <v>13</v>
      </c>
      <c r="E11" s="66">
        <v>4</v>
      </c>
      <c r="F11" s="66">
        <v>17</v>
      </c>
      <c r="G11" s="66">
        <v>32</v>
      </c>
      <c r="H11" s="66">
        <v>37</v>
      </c>
      <c r="I11" s="66">
        <f t="shared" si="0"/>
        <v>-5</v>
      </c>
      <c r="J11" s="66">
        <f t="shared" si="1"/>
        <v>43</v>
      </c>
    </row>
    <row r="12" spans="1:10" ht="15.5" thickTop="1" thickBot="1" x14ac:dyDescent="0.4">
      <c r="A12" s="66">
        <v>11</v>
      </c>
      <c r="B12" s="66" t="s">
        <v>79</v>
      </c>
      <c r="C12" s="66">
        <v>34</v>
      </c>
      <c r="D12" s="66">
        <v>11</v>
      </c>
      <c r="E12" s="66">
        <v>8</v>
      </c>
      <c r="F12" s="66">
        <v>15</v>
      </c>
      <c r="G12" s="66">
        <v>58</v>
      </c>
      <c r="H12" s="66">
        <v>60</v>
      </c>
      <c r="I12" s="66">
        <f t="shared" si="0"/>
        <v>-2</v>
      </c>
      <c r="J12" s="66">
        <f t="shared" si="1"/>
        <v>41</v>
      </c>
    </row>
    <row r="13" spans="1:10" ht="15.5" thickTop="1" thickBot="1" x14ac:dyDescent="0.4">
      <c r="A13" s="66">
        <v>12</v>
      </c>
      <c r="B13" s="66" t="s">
        <v>80</v>
      </c>
      <c r="C13" s="66">
        <v>34</v>
      </c>
      <c r="D13" s="66">
        <v>10</v>
      </c>
      <c r="E13" s="66">
        <v>11</v>
      </c>
      <c r="F13" s="66">
        <v>13</v>
      </c>
      <c r="G13" s="66">
        <v>42</v>
      </c>
      <c r="H13" s="66">
        <v>51</v>
      </c>
      <c r="I13" s="66">
        <f t="shared" si="0"/>
        <v>-9</v>
      </c>
      <c r="J13" s="66">
        <f t="shared" si="1"/>
        <v>41</v>
      </c>
    </row>
    <row r="14" spans="1:10" ht="15.5" thickTop="1" thickBot="1" x14ac:dyDescent="0.4">
      <c r="A14" s="66">
        <v>13</v>
      </c>
      <c r="B14" s="66" t="s">
        <v>81</v>
      </c>
      <c r="C14" s="66">
        <v>34</v>
      </c>
      <c r="D14" s="66">
        <v>11</v>
      </c>
      <c r="E14" s="66">
        <v>6</v>
      </c>
      <c r="F14" s="66">
        <v>17</v>
      </c>
      <c r="G14" s="66">
        <v>38</v>
      </c>
      <c r="H14" s="66">
        <v>51</v>
      </c>
      <c r="I14" s="66">
        <f t="shared" si="0"/>
        <v>-13</v>
      </c>
      <c r="J14" s="66">
        <f t="shared" si="1"/>
        <v>39</v>
      </c>
    </row>
    <row r="15" spans="1:10" ht="15.5" thickTop="1" thickBot="1" x14ac:dyDescent="0.4">
      <c r="A15" s="66">
        <v>14</v>
      </c>
      <c r="B15" s="66" t="s">
        <v>82</v>
      </c>
      <c r="C15" s="66">
        <v>34</v>
      </c>
      <c r="D15" s="66">
        <v>10</v>
      </c>
      <c r="E15" s="66">
        <v>6</v>
      </c>
      <c r="F15" s="66">
        <v>18</v>
      </c>
      <c r="G15" s="66">
        <v>43</v>
      </c>
      <c r="H15" s="66">
        <v>57</v>
      </c>
      <c r="I15" s="66">
        <f t="shared" si="0"/>
        <v>-14</v>
      </c>
      <c r="J15" s="66">
        <f t="shared" si="1"/>
        <v>36</v>
      </c>
    </row>
    <row r="16" spans="1:10" ht="15.5" thickTop="1" thickBot="1" x14ac:dyDescent="0.4">
      <c r="A16" s="66">
        <v>15</v>
      </c>
      <c r="B16" s="66" t="s">
        <v>83</v>
      </c>
      <c r="C16" s="66">
        <v>34</v>
      </c>
      <c r="D16" s="66">
        <v>10</v>
      </c>
      <c r="E16" s="66">
        <v>6</v>
      </c>
      <c r="F16" s="66">
        <v>18</v>
      </c>
      <c r="G16" s="66">
        <v>39</v>
      </c>
      <c r="H16" s="66">
        <v>57</v>
      </c>
      <c r="I16" s="66">
        <f t="shared" si="0"/>
        <v>-18</v>
      </c>
      <c r="J16" s="66">
        <f t="shared" si="1"/>
        <v>36</v>
      </c>
    </row>
    <row r="17" spans="1:10" ht="15.5" thickTop="1" thickBot="1" x14ac:dyDescent="0.4">
      <c r="A17" s="66">
        <v>16</v>
      </c>
      <c r="B17" s="66" t="s">
        <v>84</v>
      </c>
      <c r="C17" s="66">
        <v>34</v>
      </c>
      <c r="D17" s="66">
        <v>8</v>
      </c>
      <c r="E17" s="66">
        <v>9</v>
      </c>
      <c r="F17" s="66">
        <v>17</v>
      </c>
      <c r="G17" s="66">
        <v>38</v>
      </c>
      <c r="H17" s="66">
        <v>58</v>
      </c>
      <c r="I17" s="66">
        <f t="shared" si="0"/>
        <v>-20</v>
      </c>
      <c r="J17" s="66">
        <f t="shared" si="1"/>
        <v>33</v>
      </c>
    </row>
    <row r="18" spans="1:10" ht="15.5" thickTop="1" thickBot="1" x14ac:dyDescent="0.4">
      <c r="A18" s="66">
        <v>17</v>
      </c>
      <c r="B18" s="66" t="s">
        <v>85</v>
      </c>
      <c r="C18" s="66">
        <v>34</v>
      </c>
      <c r="D18" s="66">
        <v>4</v>
      </c>
      <c r="E18" s="66">
        <v>12</v>
      </c>
      <c r="F18" s="66">
        <v>18</v>
      </c>
      <c r="G18" s="66">
        <v>25</v>
      </c>
      <c r="H18" s="66">
        <v>48</v>
      </c>
      <c r="I18" s="66">
        <f t="shared" si="0"/>
        <v>-23</v>
      </c>
      <c r="J18" s="66">
        <f t="shared" si="1"/>
        <v>24</v>
      </c>
    </row>
    <row r="19" spans="1:10" ht="15.5" thickTop="1" thickBot="1" x14ac:dyDescent="0.4">
      <c r="A19" s="66">
        <v>18</v>
      </c>
      <c r="B19" s="66" t="s">
        <v>86</v>
      </c>
      <c r="C19" s="66">
        <v>34</v>
      </c>
      <c r="D19" s="66">
        <v>4</v>
      </c>
      <c r="E19" s="66">
        <v>6</v>
      </c>
      <c r="F19" s="66">
        <v>24</v>
      </c>
      <c r="G19" s="66">
        <v>18</v>
      </c>
      <c r="H19" s="66">
        <v>64</v>
      </c>
      <c r="I19" s="66">
        <f t="shared" si="0"/>
        <v>-46</v>
      </c>
      <c r="J19" s="66">
        <f t="shared" si="1"/>
        <v>18</v>
      </c>
    </row>
    <row r="20" spans="1:10" ht="15" thickTop="1" x14ac:dyDescent="0.35"/>
    <row r="1048576" spans="4:4" x14ac:dyDescent="0.35">
      <c r="D1048576">
        <f>SUM(D2:D1048575)</f>
        <v>237</v>
      </c>
    </row>
  </sheetData>
  <conditionalFormatting sqref="I2:I19">
    <cfRule type="top10" dxfId="13" priority="7" bottom="1" rank="3"/>
    <cfRule type="top10" dxfId="12" priority="9" rank="3"/>
    <cfRule type="cellIs" dxfId="11" priority="2" operator="equal">
      <formula>0</formula>
    </cfRule>
  </conditionalFormatting>
  <conditionalFormatting sqref="I1">
    <cfRule type="top10" dxfId="10" priority="8" bottom="1" rank="3"/>
  </conditionalFormatting>
  <conditionalFormatting sqref="J2:J19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{95EFD936-6834-45EE-AEB0-66A8D246CC01}</x14:id>
        </ext>
      </extLst>
    </cfRule>
  </conditionalFormatting>
  <hyperlinks>
    <hyperlink ref="B1" r:id="rId1" tooltip="Спартак (футбольный клуб, Москва)" display="https://ru.wikipedia.org/wiki/%D0%A1%D0%BF%D0%B0%D1%80%D1%82%D0%B0%D0%BA_(%D1%84%D1%83%D1%82%D0%B1%D0%BE%D0%BB%D1%8C%D0%BD%D1%8B%D0%B9_%D0%BA%D0%BB%D1%83%D0%B1,_%D0%9C%D0%BE%D1%81%D0%BA%D0%B2%D0%B0)" xr:uid="{9AE32081-7B36-4B82-A556-2F589DAA09F8}"/>
    <hyperlink ref="B2" r:id="rId2" tooltip="Спартак (футбольный клуб, Москва)" display="https://ru.wikipedia.org/wiki/%D0%A1%D0%BF%D0%B0%D1%80%D1%82%D0%B0%D0%BA_(%D1%84%D1%83%D1%82%D0%B1%D0%BE%D0%BB%D1%8C%D0%BD%D1%8B%D0%B9_%D0%BA%D0%BB%D1%83%D0%B1,_%D0%9C%D0%BE%D1%81%D0%BA%D0%B2%D0%B0)" xr:uid="{F56DD107-92D5-433E-8B67-AF1B517B0BA1}"/>
  </hyperlinks>
  <pageMargins left="0.7" right="0.7" top="0.75" bottom="0.75" header="0.3" footer="0.3"/>
  <pageSetup paperSize="9" orientation="landscape" horizontalDpi="0" verticalDpi="0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EFD936-6834-45EE-AEB0-66A8D246CC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J2:J19</xm:sqref>
        </x14:conditionalFormatting>
        <x14:conditionalFormatting xmlns:xm="http://schemas.microsoft.com/office/excel/2006/main">
          <x14:cfRule type="iconSet" priority="6" id="{0777F72C-179B-4110-B9F4-5D47A24F7FD1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14:cfRule type="iconSet" priority="10" id="{0B740D2C-B1EE-4078-B6A1-42DA333E4F5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>
                <xm:f>МАКСИМУМ($D$2:$D$19)</xm:f>
              </x14:cfvo>
              <x14:cfIcon iconSet="NoIcons" iconId="0"/>
              <x14:cfIcon iconSet="NoIcons" iconId="0"/>
              <x14:cfIcon iconSet="3Symbols2" iconId="2"/>
            </x14:iconSet>
          </x14:cfRule>
          <x14:cfRule type="iconSet" priority="1" id="{10496A0D-6BBA-421C-8A37-D5D9DCE9F3C5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D2:D19</xm:sqref>
        </x14:conditionalFormatting>
        <x14:conditionalFormatting xmlns:xm="http://schemas.microsoft.com/office/excel/2006/main">
          <x14:cfRule type="iconSet" priority="5" id="{1B7506D1-FFDD-4160-9BA1-378C0C8E77F1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E2:E19</xm:sqref>
        </x14:conditionalFormatting>
        <x14:conditionalFormatting xmlns:xm="http://schemas.microsoft.com/office/excel/2006/main">
          <x14:cfRule type="iconSet" priority="4" id="{812EF951-85DC-48C9-BC36-42D8CA1E8EB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516B0-CF3E-4AB5-A51A-7CE5CB653244}">
  <sheetPr codeName="Лист8"/>
  <dimension ref="A1:C16"/>
  <sheetViews>
    <sheetView zoomScaleNormal="100" workbookViewId="0">
      <selection activeCell="C2" sqref="C2"/>
    </sheetView>
  </sheetViews>
  <sheetFormatPr defaultRowHeight="14.5" x14ac:dyDescent="0.35"/>
  <cols>
    <col min="1" max="1" width="23.6328125" customWidth="1"/>
    <col min="2" max="2" width="13.54296875" customWidth="1"/>
    <col min="3" max="3" width="14.26953125" customWidth="1"/>
  </cols>
  <sheetData>
    <row r="1" spans="1:3" ht="15" thickBot="1" x14ac:dyDescent="0.4">
      <c r="A1" s="97" t="s">
        <v>133</v>
      </c>
      <c r="B1" s="97" t="s">
        <v>134</v>
      </c>
      <c r="C1" s="103" t="s">
        <v>118</v>
      </c>
    </row>
    <row r="2" spans="1:3" ht="15" thickBot="1" x14ac:dyDescent="0.4">
      <c r="A2" s="98" t="s">
        <v>122</v>
      </c>
      <c r="B2" s="30">
        <v>5</v>
      </c>
      <c r="C2" s="98">
        <f>IFERROR(VLOOKUP(A2, 'G.1.2'!$A$2:$B$13, 2, FALSE) * B2, "нет на рынке")</f>
        <v>150</v>
      </c>
    </row>
    <row r="3" spans="1:3" ht="15" thickBot="1" x14ac:dyDescent="0.4">
      <c r="A3" s="98" t="s">
        <v>135</v>
      </c>
      <c r="B3" s="30">
        <v>10</v>
      </c>
      <c r="C3" s="98" t="str">
        <f>IFERROR(VLOOKUP(A3, 'G.1.2'!$A$2:$B$13, 2, FALSE) * B3, "нет на рынке")</f>
        <v>нет на рынке</v>
      </c>
    </row>
    <row r="4" spans="1:3" ht="15" thickBot="1" x14ac:dyDescent="0.4">
      <c r="A4" s="98" t="s">
        <v>123</v>
      </c>
      <c r="B4" s="30">
        <v>3</v>
      </c>
      <c r="C4" s="98">
        <f>IFERROR(VLOOKUP(A4, 'G.1.2'!$A$2:$B$13, 2, FALSE) * B4, "нет на рынке")</f>
        <v>900</v>
      </c>
    </row>
    <row r="5" spans="1:3" ht="15" thickBot="1" x14ac:dyDescent="0.4">
      <c r="A5" s="98" t="s">
        <v>124</v>
      </c>
      <c r="B5" s="30">
        <v>23</v>
      </c>
      <c r="C5" s="98">
        <f>IFERROR(VLOOKUP(A5, 'G.1.2'!$A$2:$B$13, 2, FALSE) * B5, "нет на рынке")</f>
        <v>345</v>
      </c>
    </row>
    <row r="6" spans="1:3" ht="15" thickBot="1" x14ac:dyDescent="0.4">
      <c r="A6" s="98" t="s">
        <v>130</v>
      </c>
      <c r="B6" s="30">
        <v>6</v>
      </c>
      <c r="C6" s="98">
        <f>IFERROR(VLOOKUP(A6, 'G.1.2'!$A$2:$B$13, 2, FALSE) * B6, "нет на рынке")</f>
        <v>150</v>
      </c>
    </row>
    <row r="7" spans="1:3" ht="15" thickBot="1" x14ac:dyDescent="0.4">
      <c r="A7" s="98" t="s">
        <v>125</v>
      </c>
      <c r="B7" s="30">
        <v>11</v>
      </c>
      <c r="C7" s="98">
        <f>IFERROR(VLOOKUP(A7, 'G.1.2'!$A$2:$B$13, 2, FALSE) * B7, "нет на рынке")</f>
        <v>880</v>
      </c>
    </row>
    <row r="8" spans="1:3" ht="15" thickBot="1" x14ac:dyDescent="0.4">
      <c r="A8" s="98" t="s">
        <v>126</v>
      </c>
      <c r="B8" s="30">
        <v>11</v>
      </c>
      <c r="C8" s="98">
        <f>IFERROR(VLOOKUP(A8, 'G.1.2'!$A$2:$B$13, 2, FALSE) * B8, "нет на рынке")</f>
        <v>1045</v>
      </c>
    </row>
    <row r="9" spans="1:3" ht="15" thickBot="1" x14ac:dyDescent="0.4">
      <c r="A9" s="98" t="s">
        <v>136</v>
      </c>
      <c r="B9" s="30">
        <v>9</v>
      </c>
      <c r="C9" s="98" t="str">
        <f>IFERROR(VLOOKUP(A9, 'G.1.2'!$A$2:$B$13, 2, FALSE) * B9, "нет на рынке")</f>
        <v>нет на рынке</v>
      </c>
    </row>
    <row r="10" spans="1:3" ht="15" thickBot="1" x14ac:dyDescent="0.4">
      <c r="A10" s="98" t="s">
        <v>127</v>
      </c>
      <c r="B10" s="30">
        <v>7</v>
      </c>
      <c r="C10" s="98">
        <f>IFERROR(VLOOKUP(A10, 'G.1.2'!$A$2:$B$13, 2, FALSE) * B10, "нет на рынке")</f>
        <v>157.5</v>
      </c>
    </row>
    <row r="11" spans="1:3" ht="15" thickBot="1" x14ac:dyDescent="0.4">
      <c r="A11" s="98" t="s">
        <v>132</v>
      </c>
      <c r="B11" s="30">
        <v>2</v>
      </c>
      <c r="C11" s="98">
        <f>IFERROR(VLOOKUP(A11, 'G.1.2'!$A$2:$B$13, 2, FALSE) * B11, "нет на рынке")</f>
        <v>800</v>
      </c>
    </row>
    <row r="12" spans="1:3" ht="15" thickBot="1" x14ac:dyDescent="0.4">
      <c r="A12" s="98" t="s">
        <v>129</v>
      </c>
      <c r="B12" s="30">
        <v>6.5</v>
      </c>
      <c r="C12" s="98">
        <f>IFERROR(VLOOKUP(A12, 'G.1.2'!$A$2:$B$13, 2, FALSE) * B12, "нет на рынке")</f>
        <v>2210</v>
      </c>
    </row>
    <row r="13" spans="1:3" ht="15" thickBot="1" x14ac:dyDescent="0.4">
      <c r="A13" s="98" t="s">
        <v>137</v>
      </c>
      <c r="B13" s="30">
        <v>1</v>
      </c>
      <c r="C13" s="98">
        <f>IFERROR(VLOOKUP(A13, 'G.1.2'!$A$2:$B$13, 2, FALSE) * B13, "нет на рынке")</f>
        <v>515</v>
      </c>
    </row>
    <row r="14" spans="1:3" ht="15" thickBot="1" x14ac:dyDescent="0.4">
      <c r="A14" s="98" t="s">
        <v>138</v>
      </c>
      <c r="B14" s="30">
        <v>0.5</v>
      </c>
      <c r="C14" s="98" t="str">
        <f>IFERROR(VLOOKUP(A14, 'G.1.2'!$A$2:$B$13, 2, FALSE) * B14, "нет на рынке")</f>
        <v>нет на рынке</v>
      </c>
    </row>
    <row r="15" spans="1:3" ht="15" thickBot="1" x14ac:dyDescent="0.4">
      <c r="A15" s="98" t="s">
        <v>131</v>
      </c>
      <c r="B15" s="30">
        <v>0.5</v>
      </c>
      <c r="C15" s="98">
        <f>IFERROR(VLOOKUP(A15, 'G.1.2'!$A$2:$B$13, 2, FALSE) * B15, "нет на рынке")</f>
        <v>400</v>
      </c>
    </row>
    <row r="16" spans="1:3" ht="15" thickBot="1" x14ac:dyDescent="0.4">
      <c r="B16" s="102" t="s">
        <v>119</v>
      </c>
      <c r="C16" s="98">
        <f>SUMIF(C2:C15,"&gt;0")</f>
        <v>7552.5</v>
      </c>
    </row>
  </sheetData>
  <conditionalFormatting sqref="C2:C12">
    <cfRule type="cellIs" dxfId="9" priority="9" operator="equal">
      <formula>"""$C$2"</formula>
    </cfRule>
    <cfRule type="cellIs" dxfId="8" priority="10" operator="lessThan">
      <formula>0</formula>
    </cfRule>
  </conditionalFormatting>
  <conditionalFormatting sqref="C2:C12">
    <cfRule type="containsText" dxfId="7" priority="8" operator="containsText" text="нет на рынке">
      <formula>NOT(ISERROR(SEARCH("нет на рынке",C2)))</formula>
    </cfRule>
  </conditionalFormatting>
  <conditionalFormatting sqref="C3:C12">
    <cfRule type="containsText" dxfId="6" priority="7" operator="containsText" text="нет на рынке">
      <formula>NOT(ISERROR(SEARCH("нет на рынке",C3)))</formula>
    </cfRule>
  </conditionalFormatting>
  <conditionalFormatting sqref="C3:C12">
    <cfRule type="containsText" dxfId="5" priority="6" operator="containsText" text="нет на рынке">
      <formula>NOT(ISERROR(SEARCH("нет на рынке",C3)))</formula>
    </cfRule>
  </conditionalFormatting>
  <conditionalFormatting sqref="C13:C15">
    <cfRule type="cellIs" dxfId="4" priority="4" operator="equal">
      <formula>"""$C$2"</formula>
    </cfRule>
    <cfRule type="cellIs" dxfId="3" priority="5" operator="lessThan">
      <formula>0</formula>
    </cfRule>
  </conditionalFormatting>
  <conditionalFormatting sqref="C13:C15">
    <cfRule type="containsText" dxfId="2" priority="3" operator="containsText" text="нет на рынке">
      <formula>NOT(ISERROR(SEARCH("нет на рынке",C13)))</formula>
    </cfRule>
  </conditionalFormatting>
  <conditionalFormatting sqref="C13:C15">
    <cfRule type="containsText" dxfId="1" priority="2" operator="containsText" text="нет на рынке">
      <formula>NOT(ISERROR(SEARCH("нет на рынке",C13)))</formula>
    </cfRule>
  </conditionalFormatting>
  <conditionalFormatting sqref="C13:C15">
    <cfRule type="containsText" dxfId="0" priority="1" operator="containsText" text="нет на рынке">
      <formula>NOT(ISERROR(SEARCH("нет на рынке",C13)))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656FB-9B81-464C-9442-939558CAB656}">
  <sheetPr codeName="Лист9"/>
  <dimension ref="A1:B13"/>
  <sheetViews>
    <sheetView zoomScaleNormal="100" workbookViewId="0">
      <selection activeCell="C18" sqref="C18"/>
    </sheetView>
  </sheetViews>
  <sheetFormatPr defaultRowHeight="14.5" x14ac:dyDescent="0.35"/>
  <cols>
    <col min="1" max="1" width="34.08984375" customWidth="1"/>
    <col min="2" max="2" width="11.81640625" customWidth="1"/>
  </cols>
  <sheetData>
    <row r="1" spans="1:2" ht="15" thickBot="1" x14ac:dyDescent="0.4">
      <c r="A1" s="98" t="s">
        <v>120</v>
      </c>
      <c r="B1" s="98" t="s">
        <v>121</v>
      </c>
    </row>
    <row r="2" spans="1:2" ht="15" thickBot="1" x14ac:dyDescent="0.4">
      <c r="A2" s="98" t="s">
        <v>122</v>
      </c>
      <c r="B2" s="98">
        <v>30</v>
      </c>
    </row>
    <row r="3" spans="1:2" ht="15" thickBot="1" x14ac:dyDescent="0.4">
      <c r="A3" s="98" t="s">
        <v>123</v>
      </c>
      <c r="B3" s="98">
        <v>300</v>
      </c>
    </row>
    <row r="4" spans="1:2" ht="15" thickBot="1" x14ac:dyDescent="0.4">
      <c r="A4" s="98" t="s">
        <v>124</v>
      </c>
      <c r="B4" s="98">
        <v>15</v>
      </c>
    </row>
    <row r="5" spans="1:2" ht="15" thickBot="1" x14ac:dyDescent="0.4">
      <c r="A5" s="98" t="s">
        <v>125</v>
      </c>
      <c r="B5" s="98">
        <v>80</v>
      </c>
    </row>
    <row r="6" spans="1:2" ht="15" thickBot="1" x14ac:dyDescent="0.4">
      <c r="A6" s="99" t="s">
        <v>126</v>
      </c>
      <c r="B6" s="100">
        <v>95</v>
      </c>
    </row>
    <row r="7" spans="1:2" ht="15" thickBot="1" x14ac:dyDescent="0.4">
      <c r="A7" s="98" t="s">
        <v>127</v>
      </c>
      <c r="B7" s="101">
        <v>22.5</v>
      </c>
    </row>
    <row r="8" spans="1:2" ht="15" thickBot="1" x14ac:dyDescent="0.4">
      <c r="A8" s="98" t="s">
        <v>128</v>
      </c>
      <c r="B8" s="101">
        <v>45</v>
      </c>
    </row>
    <row r="9" spans="1:2" ht="15" thickBot="1" x14ac:dyDescent="0.4">
      <c r="A9" s="98" t="s">
        <v>129</v>
      </c>
      <c r="B9" s="101">
        <v>340</v>
      </c>
    </row>
    <row r="10" spans="1:2" ht="15" thickBot="1" x14ac:dyDescent="0.4">
      <c r="A10" s="98" t="s">
        <v>130</v>
      </c>
      <c r="B10" s="101">
        <v>25</v>
      </c>
    </row>
    <row r="11" spans="1:2" ht="15" thickBot="1" x14ac:dyDescent="0.4">
      <c r="A11" s="98" t="s">
        <v>131</v>
      </c>
      <c r="B11" s="101">
        <v>800</v>
      </c>
    </row>
    <row r="12" spans="1:2" ht="15" thickBot="1" x14ac:dyDescent="0.4">
      <c r="A12" s="98" t="s">
        <v>137</v>
      </c>
      <c r="B12" s="101">
        <v>515</v>
      </c>
    </row>
    <row r="13" spans="1:2" ht="15" thickBot="1" x14ac:dyDescent="0.4">
      <c r="A13" s="98" t="s">
        <v>132</v>
      </c>
      <c r="B13" s="101">
        <v>400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716FD-B0C2-4A49-BD75-A613C0105E50}">
  <sheetPr codeName="Лист1"/>
  <dimension ref="A1:O25"/>
  <sheetViews>
    <sheetView tabSelected="1" zoomScale="74" zoomScaleNormal="74" workbookViewId="0">
      <selection activeCell="T18" sqref="T18"/>
    </sheetView>
  </sheetViews>
  <sheetFormatPr defaultRowHeight="14.5" x14ac:dyDescent="0.35"/>
  <cols>
    <col min="2" max="2" width="8.7265625" customWidth="1"/>
    <col min="3" max="3" width="7.26953125" customWidth="1"/>
    <col min="4" max="4" width="16.26953125" customWidth="1"/>
    <col min="5" max="5" width="18.90625" customWidth="1"/>
    <col min="12" max="12" width="15.7265625" customWidth="1"/>
    <col min="13" max="13" width="20.453125" customWidth="1"/>
  </cols>
  <sheetData>
    <row r="1" spans="1:15" ht="15" thickBot="1" x14ac:dyDescent="0.4">
      <c r="D1" s="123" t="s">
        <v>149</v>
      </c>
      <c r="E1" s="123"/>
      <c r="F1" s="109" t="s">
        <v>169</v>
      </c>
      <c r="L1" s="123" t="s">
        <v>149</v>
      </c>
      <c r="M1" s="123"/>
      <c r="N1" s="109" t="s">
        <v>169</v>
      </c>
    </row>
    <row r="2" spans="1:15" ht="30" thickTop="1" thickBot="1" x14ac:dyDescent="0.4">
      <c r="A2" s="118" t="s">
        <v>143</v>
      </c>
      <c r="B2" s="118" t="s">
        <v>144</v>
      </c>
      <c r="C2" s="119" t="s">
        <v>145</v>
      </c>
      <c r="D2" s="120" t="s">
        <v>155</v>
      </c>
      <c r="E2" s="120" t="s">
        <v>146</v>
      </c>
      <c r="F2" s="120" t="s">
        <v>147</v>
      </c>
      <c r="G2" s="120" t="s">
        <v>148</v>
      </c>
      <c r="I2" s="118" t="s">
        <v>143</v>
      </c>
      <c r="J2" s="118" t="s">
        <v>144</v>
      </c>
      <c r="K2" s="119" t="s">
        <v>145</v>
      </c>
      <c r="L2" s="120" t="s">
        <v>155</v>
      </c>
      <c r="M2" s="120" t="s">
        <v>146</v>
      </c>
      <c r="N2" s="120" t="s">
        <v>147</v>
      </c>
      <c r="O2" s="120" t="s">
        <v>148</v>
      </c>
    </row>
    <row r="3" spans="1:15" ht="15" customHeight="1" thickTop="1" x14ac:dyDescent="0.35">
      <c r="A3" s="178">
        <v>41526</v>
      </c>
      <c r="B3" s="180" t="s">
        <v>163</v>
      </c>
      <c r="C3" s="110">
        <v>1</v>
      </c>
      <c r="D3" s="34" t="s">
        <v>150</v>
      </c>
      <c r="E3" s="34"/>
      <c r="F3" s="34"/>
      <c r="G3" s="34"/>
      <c r="I3" s="178">
        <v>41529</v>
      </c>
      <c r="J3" s="180" t="s">
        <v>166</v>
      </c>
      <c r="K3" s="110">
        <v>1</v>
      </c>
      <c r="L3" s="34" t="s">
        <v>158</v>
      </c>
      <c r="M3" s="34"/>
      <c r="N3" s="34"/>
      <c r="O3" s="34"/>
    </row>
    <row r="4" spans="1:15" x14ac:dyDescent="0.35">
      <c r="A4" s="178"/>
      <c r="B4" s="180"/>
      <c r="C4" s="115">
        <v>2</v>
      </c>
      <c r="D4" s="112" t="s">
        <v>151</v>
      </c>
      <c r="E4" s="112"/>
      <c r="F4" s="112"/>
      <c r="G4" s="112"/>
      <c r="I4" s="178"/>
      <c r="J4" s="180"/>
      <c r="K4" s="115">
        <v>2</v>
      </c>
      <c r="L4" s="112" t="s">
        <v>151</v>
      </c>
      <c r="M4" s="112"/>
      <c r="N4" s="112"/>
      <c r="O4" s="112"/>
    </row>
    <row r="5" spans="1:15" x14ac:dyDescent="0.35">
      <c r="A5" s="178"/>
      <c r="B5" s="180"/>
      <c r="C5" s="116">
        <v>3</v>
      </c>
      <c r="D5" s="114" t="s">
        <v>152</v>
      </c>
      <c r="E5" s="114"/>
      <c r="F5" s="114"/>
      <c r="G5" s="114"/>
      <c r="I5" s="178"/>
      <c r="J5" s="180"/>
      <c r="K5" s="116">
        <v>3</v>
      </c>
      <c r="L5" s="114" t="s">
        <v>159</v>
      </c>
      <c r="M5" s="114"/>
      <c r="N5" s="114"/>
      <c r="O5" s="114"/>
    </row>
    <row r="6" spans="1:15" x14ac:dyDescent="0.35">
      <c r="A6" s="178"/>
      <c r="B6" s="180"/>
      <c r="C6" s="117">
        <v>4</v>
      </c>
      <c r="D6" s="113" t="s">
        <v>153</v>
      </c>
      <c r="E6" s="113"/>
      <c r="F6" s="113"/>
      <c r="G6" s="113"/>
      <c r="I6" s="178"/>
      <c r="J6" s="180"/>
      <c r="K6" s="117">
        <v>4</v>
      </c>
      <c r="L6" s="113" t="s">
        <v>153</v>
      </c>
      <c r="M6" s="113"/>
      <c r="N6" s="113"/>
      <c r="O6" s="113"/>
    </row>
    <row r="7" spans="1:15" x14ac:dyDescent="0.35">
      <c r="A7" s="178"/>
      <c r="B7" s="180"/>
      <c r="C7" s="117">
        <v>5</v>
      </c>
      <c r="D7" s="113" t="s">
        <v>108</v>
      </c>
      <c r="E7" s="113"/>
      <c r="F7" s="113"/>
      <c r="G7" s="113"/>
      <c r="I7" s="178"/>
      <c r="J7" s="180"/>
      <c r="K7" s="117">
        <v>5</v>
      </c>
      <c r="L7" s="113" t="s">
        <v>162</v>
      </c>
      <c r="M7" s="113"/>
      <c r="N7" s="113"/>
      <c r="O7" s="113"/>
    </row>
    <row r="8" spans="1:15" ht="15" thickBot="1" x14ac:dyDescent="0.4">
      <c r="A8" s="179"/>
      <c r="B8" s="181"/>
      <c r="C8" s="111">
        <v>6</v>
      </c>
      <c r="D8" s="32" t="s">
        <v>154</v>
      </c>
      <c r="E8" s="32"/>
      <c r="F8" s="32"/>
      <c r="G8" s="32"/>
      <c r="I8" s="179"/>
      <c r="J8" s="181"/>
      <c r="K8" s="111">
        <v>6</v>
      </c>
      <c r="L8" s="32" t="s">
        <v>160</v>
      </c>
      <c r="M8" s="32"/>
      <c r="N8" s="32"/>
      <c r="O8" s="32"/>
    </row>
    <row r="9" spans="1:15" ht="15.5" thickTop="1" thickBot="1" x14ac:dyDescent="0.4"/>
    <row r="10" spans="1:15" ht="30" thickTop="1" thickBot="1" x14ac:dyDescent="0.4">
      <c r="A10" s="118" t="s">
        <v>143</v>
      </c>
      <c r="B10" s="118" t="s">
        <v>144</v>
      </c>
      <c r="C10" s="119" t="s">
        <v>145</v>
      </c>
      <c r="D10" s="120" t="s">
        <v>155</v>
      </c>
      <c r="E10" s="120" t="s">
        <v>146</v>
      </c>
      <c r="F10" s="120" t="s">
        <v>147</v>
      </c>
      <c r="G10" s="120" t="s">
        <v>148</v>
      </c>
      <c r="I10" s="118" t="s">
        <v>143</v>
      </c>
      <c r="J10" s="118" t="s">
        <v>144</v>
      </c>
      <c r="K10" s="119" t="s">
        <v>145</v>
      </c>
      <c r="L10" s="120" t="s">
        <v>155</v>
      </c>
      <c r="M10" s="120" t="s">
        <v>146</v>
      </c>
      <c r="N10" s="120" t="s">
        <v>147</v>
      </c>
      <c r="O10" s="120" t="s">
        <v>148</v>
      </c>
    </row>
    <row r="11" spans="1:15" ht="15" customHeight="1" thickTop="1" x14ac:dyDescent="0.35">
      <c r="A11" s="178">
        <v>41527</v>
      </c>
      <c r="B11" s="180" t="s">
        <v>164</v>
      </c>
      <c r="C11" s="110">
        <v>1</v>
      </c>
      <c r="D11" s="34" t="s">
        <v>156</v>
      </c>
      <c r="E11" s="34"/>
      <c r="F11" s="34"/>
      <c r="G11" s="34"/>
      <c r="I11" s="178">
        <v>41530</v>
      </c>
      <c r="J11" s="180" t="s">
        <v>167</v>
      </c>
      <c r="K11" s="110">
        <v>1</v>
      </c>
      <c r="L11" s="34" t="s">
        <v>150</v>
      </c>
      <c r="M11" s="34"/>
      <c r="N11" s="34"/>
      <c r="O11" s="34"/>
    </row>
    <row r="12" spans="1:15" x14ac:dyDescent="0.35">
      <c r="A12" s="178"/>
      <c r="B12" s="180"/>
      <c r="C12" s="115">
        <v>2</v>
      </c>
      <c r="D12" s="112" t="s">
        <v>157</v>
      </c>
      <c r="E12" s="112"/>
      <c r="F12" s="112"/>
      <c r="G12" s="112"/>
      <c r="I12" s="178"/>
      <c r="J12" s="180"/>
      <c r="K12" s="115">
        <v>2</v>
      </c>
      <c r="L12" s="112" t="s">
        <v>153</v>
      </c>
      <c r="M12" s="112"/>
      <c r="N12" s="112"/>
      <c r="O12" s="112"/>
    </row>
    <row r="13" spans="1:15" x14ac:dyDescent="0.35">
      <c r="A13" s="178"/>
      <c r="B13" s="180"/>
      <c r="C13" s="116">
        <v>3</v>
      </c>
      <c r="D13" s="114" t="s">
        <v>158</v>
      </c>
      <c r="E13" s="114"/>
      <c r="F13" s="114"/>
      <c r="G13" s="114"/>
      <c r="I13" s="178"/>
      <c r="J13" s="180"/>
      <c r="K13" s="116">
        <v>3</v>
      </c>
      <c r="L13" s="114" t="s">
        <v>154</v>
      </c>
      <c r="M13" s="114"/>
      <c r="N13" s="114"/>
      <c r="O13" s="114"/>
    </row>
    <row r="14" spans="1:15" x14ac:dyDescent="0.35">
      <c r="A14" s="178"/>
      <c r="B14" s="180"/>
      <c r="C14" s="117">
        <v>4</v>
      </c>
      <c r="D14" s="113" t="s">
        <v>109</v>
      </c>
      <c r="E14" s="113"/>
      <c r="F14" s="113"/>
      <c r="G14" s="113"/>
      <c r="I14" s="178"/>
      <c r="J14" s="180"/>
      <c r="K14" s="117">
        <v>4</v>
      </c>
      <c r="L14" s="113" t="s">
        <v>156</v>
      </c>
      <c r="M14" s="113"/>
      <c r="N14" s="113"/>
      <c r="O14" s="113"/>
    </row>
    <row r="15" spans="1:15" x14ac:dyDescent="0.35">
      <c r="A15" s="178"/>
      <c r="B15" s="180"/>
      <c r="C15" s="117">
        <v>5</v>
      </c>
      <c r="D15" s="113" t="s">
        <v>159</v>
      </c>
      <c r="E15" s="113"/>
      <c r="F15" s="113"/>
      <c r="G15" s="113"/>
      <c r="I15" s="178"/>
      <c r="J15" s="180"/>
      <c r="K15" s="117">
        <v>5</v>
      </c>
      <c r="L15" s="113" t="s">
        <v>108</v>
      </c>
      <c r="M15" s="113"/>
      <c r="N15" s="113"/>
      <c r="O15" s="113"/>
    </row>
    <row r="16" spans="1:15" ht="15" thickBot="1" x14ac:dyDescent="0.4">
      <c r="A16" s="179"/>
      <c r="B16" s="181"/>
      <c r="C16" s="111">
        <v>6</v>
      </c>
      <c r="D16" s="32" t="s">
        <v>160</v>
      </c>
      <c r="E16" s="32"/>
      <c r="F16" s="32"/>
      <c r="G16" s="32"/>
      <c r="I16" s="179"/>
      <c r="J16" s="181"/>
      <c r="K16" s="111">
        <v>6</v>
      </c>
      <c r="L16" s="32"/>
      <c r="M16" s="32"/>
      <c r="N16" s="32"/>
      <c r="O16" s="32"/>
    </row>
    <row r="17" spans="1:15" ht="15.5" thickTop="1" thickBot="1" x14ac:dyDescent="0.4"/>
    <row r="18" spans="1:15" ht="30" thickTop="1" thickBot="1" x14ac:dyDescent="0.4">
      <c r="A18" s="118" t="s">
        <v>143</v>
      </c>
      <c r="B18" s="118" t="s">
        <v>144</v>
      </c>
      <c r="C18" s="119" t="s">
        <v>145</v>
      </c>
      <c r="D18" s="120" t="s">
        <v>155</v>
      </c>
      <c r="E18" s="120" t="s">
        <v>146</v>
      </c>
      <c r="F18" s="120" t="s">
        <v>147</v>
      </c>
      <c r="G18" s="120" t="s">
        <v>148</v>
      </c>
      <c r="I18" s="118" t="s">
        <v>143</v>
      </c>
      <c r="J18" s="118" t="s">
        <v>144</v>
      </c>
      <c r="K18" s="119" t="s">
        <v>145</v>
      </c>
      <c r="L18" s="120" t="s">
        <v>155</v>
      </c>
      <c r="M18" s="120" t="s">
        <v>146</v>
      </c>
      <c r="N18" s="120" t="s">
        <v>147</v>
      </c>
      <c r="O18" s="120" t="s">
        <v>148</v>
      </c>
    </row>
    <row r="19" spans="1:15" ht="15" customHeight="1" thickTop="1" x14ac:dyDescent="0.35">
      <c r="A19" s="178">
        <v>41528</v>
      </c>
      <c r="B19" s="180" t="s">
        <v>165</v>
      </c>
      <c r="C19" s="110">
        <v>1</v>
      </c>
      <c r="D19" s="34" t="s">
        <v>153</v>
      </c>
      <c r="E19" s="34"/>
      <c r="F19" s="34"/>
      <c r="G19" s="34"/>
      <c r="I19" s="178">
        <v>41531</v>
      </c>
      <c r="J19" s="180" t="s">
        <v>168</v>
      </c>
      <c r="K19" s="110">
        <v>1</v>
      </c>
      <c r="L19" s="34" t="s">
        <v>157</v>
      </c>
      <c r="M19" s="34"/>
      <c r="N19" s="34"/>
      <c r="O19" s="34"/>
    </row>
    <row r="20" spans="1:15" x14ac:dyDescent="0.35">
      <c r="A20" s="178"/>
      <c r="B20" s="180"/>
      <c r="C20" s="115">
        <v>2</v>
      </c>
      <c r="D20" s="112" t="s">
        <v>108</v>
      </c>
      <c r="E20" s="112"/>
      <c r="F20" s="112"/>
      <c r="G20" s="112"/>
      <c r="I20" s="178"/>
      <c r="J20" s="180"/>
      <c r="K20" s="115">
        <v>2</v>
      </c>
      <c r="L20" s="112" t="s">
        <v>109</v>
      </c>
      <c r="M20" s="112"/>
      <c r="N20" s="112"/>
      <c r="O20" s="112"/>
    </row>
    <row r="21" spans="1:15" x14ac:dyDescent="0.35">
      <c r="A21" s="178"/>
      <c r="B21" s="180"/>
      <c r="C21" s="116">
        <v>3</v>
      </c>
      <c r="D21" s="114" t="s">
        <v>152</v>
      </c>
      <c r="E21" s="114"/>
      <c r="F21" s="114"/>
      <c r="G21" s="114"/>
      <c r="I21" s="178"/>
      <c r="J21" s="180"/>
      <c r="K21" s="116">
        <v>3</v>
      </c>
      <c r="L21" s="114" t="s">
        <v>160</v>
      </c>
      <c r="M21" s="114"/>
      <c r="N21" s="114"/>
      <c r="O21" s="114"/>
    </row>
    <row r="22" spans="1:15" x14ac:dyDescent="0.35">
      <c r="A22" s="178"/>
      <c r="B22" s="180"/>
      <c r="C22" s="117">
        <v>4</v>
      </c>
      <c r="D22" s="113" t="s">
        <v>151</v>
      </c>
      <c r="E22" s="113"/>
      <c r="F22" s="113"/>
      <c r="G22" s="113"/>
      <c r="I22" s="178"/>
      <c r="J22" s="180"/>
      <c r="K22" s="117">
        <v>4</v>
      </c>
      <c r="L22" s="113"/>
      <c r="M22" s="113"/>
      <c r="N22" s="113"/>
      <c r="O22" s="113"/>
    </row>
    <row r="23" spans="1:15" x14ac:dyDescent="0.35">
      <c r="A23" s="178"/>
      <c r="B23" s="180"/>
      <c r="C23" s="117">
        <v>5</v>
      </c>
      <c r="D23" s="113" t="s">
        <v>161</v>
      </c>
      <c r="E23" s="113"/>
      <c r="F23" s="113"/>
      <c r="G23" s="113"/>
      <c r="I23" s="178"/>
      <c r="J23" s="180"/>
      <c r="K23" s="117">
        <v>5</v>
      </c>
      <c r="L23" s="113"/>
      <c r="M23" s="113"/>
      <c r="N23" s="113"/>
      <c r="O23" s="113"/>
    </row>
    <row r="24" spans="1:15" ht="15" thickBot="1" x14ac:dyDescent="0.4">
      <c r="A24" s="179"/>
      <c r="B24" s="181"/>
      <c r="C24" s="111">
        <v>6</v>
      </c>
      <c r="D24" s="32"/>
      <c r="E24" s="32"/>
      <c r="F24" s="32"/>
      <c r="G24" s="32"/>
      <c r="I24" s="179"/>
      <c r="J24" s="181"/>
      <c r="K24" s="111">
        <v>6</v>
      </c>
      <c r="L24" s="32"/>
      <c r="M24" s="32"/>
      <c r="N24" s="32"/>
      <c r="O24" s="32"/>
    </row>
    <row r="25" spans="1:15" ht="15" thickTop="1" x14ac:dyDescent="0.35"/>
  </sheetData>
  <mergeCells count="14">
    <mergeCell ref="I19:I24"/>
    <mergeCell ref="J19:J24"/>
    <mergeCell ref="D1:E1"/>
    <mergeCell ref="A3:A8"/>
    <mergeCell ref="B3:B8"/>
    <mergeCell ref="A11:A16"/>
    <mergeCell ref="B11:B16"/>
    <mergeCell ref="A19:A24"/>
    <mergeCell ref="B19:B24"/>
    <mergeCell ref="L1:M1"/>
    <mergeCell ref="I3:I8"/>
    <mergeCell ref="J3:J8"/>
    <mergeCell ref="I11:I16"/>
    <mergeCell ref="J11:J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13</xdr:col>
                <xdr:colOff>146050</xdr:colOff>
                <xdr:row>24</xdr:row>
                <xdr:rowOff>171450</xdr:rowOff>
              </from>
              <to>
                <xdr:col>14</xdr:col>
                <xdr:colOff>450850</xdr:colOff>
                <xdr:row>26</xdr:row>
                <xdr:rowOff>114300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20" r:id="rId5" name="CommandButton2">
          <controlPr defaultSize="0" autoLine="0" r:id="rId6">
            <anchor moveWithCells="1">
              <from>
                <xdr:col>0</xdr:col>
                <xdr:colOff>342900</xdr:colOff>
                <xdr:row>24</xdr:row>
                <xdr:rowOff>171450</xdr:rowOff>
              </from>
              <to>
                <xdr:col>2</xdr:col>
                <xdr:colOff>44450</xdr:colOff>
                <xdr:row>26</xdr:row>
                <xdr:rowOff>114300</xdr:rowOff>
              </to>
            </anchor>
          </controlPr>
        </control>
      </mc:Choice>
      <mc:Fallback>
        <control shapeId="9220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E777-FE85-4A46-A420-21D5E5523EC4}">
  <sheetPr codeName="Лист10"/>
  <dimension ref="A1:O25"/>
  <sheetViews>
    <sheetView zoomScale="74" zoomScaleNormal="74" workbookViewId="0">
      <selection activeCell="T18" sqref="T18"/>
    </sheetView>
  </sheetViews>
  <sheetFormatPr defaultRowHeight="14.5" x14ac:dyDescent="0.35"/>
  <cols>
    <col min="2" max="2" width="8.7265625" customWidth="1"/>
    <col min="3" max="3" width="7.26953125" customWidth="1"/>
    <col min="4" max="4" width="16.26953125" customWidth="1"/>
    <col min="5" max="5" width="18.90625" customWidth="1"/>
    <col min="12" max="12" width="15.7265625" customWidth="1"/>
    <col min="13" max="13" width="20.453125" customWidth="1"/>
  </cols>
  <sheetData>
    <row r="1" spans="1:15" ht="15" thickBot="1" x14ac:dyDescent="0.4">
      <c r="D1" s="123" t="s">
        <v>149</v>
      </c>
      <c r="E1" s="123"/>
      <c r="F1" s="109" t="s">
        <v>169</v>
      </c>
      <c r="L1" s="123" t="s">
        <v>149</v>
      </c>
      <c r="M1" s="123"/>
      <c r="N1" s="109" t="s">
        <v>169</v>
      </c>
    </row>
    <row r="2" spans="1:15" ht="30" thickTop="1" thickBot="1" x14ac:dyDescent="0.4">
      <c r="A2" s="118" t="s">
        <v>143</v>
      </c>
      <c r="B2" s="118" t="s">
        <v>144</v>
      </c>
      <c r="C2" s="119" t="s">
        <v>145</v>
      </c>
      <c r="D2" s="120" t="s">
        <v>155</v>
      </c>
      <c r="E2" s="120" t="s">
        <v>146</v>
      </c>
      <c r="F2" s="120" t="s">
        <v>147</v>
      </c>
      <c r="G2" s="120" t="s">
        <v>148</v>
      </c>
      <c r="I2" s="118" t="s">
        <v>143</v>
      </c>
      <c r="J2" s="118" t="s">
        <v>144</v>
      </c>
      <c r="K2" s="119" t="s">
        <v>145</v>
      </c>
      <c r="L2" s="120" t="s">
        <v>155</v>
      </c>
      <c r="M2" s="120" t="s">
        <v>146</v>
      </c>
      <c r="N2" s="120" t="s">
        <v>147</v>
      </c>
      <c r="O2" s="120" t="s">
        <v>148</v>
      </c>
    </row>
    <row r="3" spans="1:15" ht="15" customHeight="1" thickTop="1" x14ac:dyDescent="0.35">
      <c r="A3" s="178">
        <v>41533</v>
      </c>
      <c r="B3" s="180" t="s">
        <v>163</v>
      </c>
      <c r="C3" s="110">
        <v>1</v>
      </c>
      <c r="D3" s="34" t="s">
        <v>150</v>
      </c>
      <c r="E3" s="34"/>
      <c r="F3" s="34"/>
      <c r="G3" s="34"/>
      <c r="I3" s="178">
        <v>41536</v>
      </c>
      <c r="J3" s="180" t="s">
        <v>166</v>
      </c>
      <c r="K3" s="110">
        <v>1</v>
      </c>
      <c r="L3" s="34" t="s">
        <v>158</v>
      </c>
      <c r="M3" s="34"/>
      <c r="N3" s="34"/>
      <c r="O3" s="34"/>
    </row>
    <row r="4" spans="1:15" x14ac:dyDescent="0.35">
      <c r="A4" s="178"/>
      <c r="B4" s="180"/>
      <c r="C4" s="115">
        <v>2</v>
      </c>
      <c r="D4" s="112" t="s">
        <v>151</v>
      </c>
      <c r="E4" s="112"/>
      <c r="F4" s="112"/>
      <c r="G4" s="112"/>
      <c r="I4" s="178"/>
      <c r="J4" s="180"/>
      <c r="K4" s="115">
        <v>2</v>
      </c>
      <c r="L4" s="112" t="s">
        <v>151</v>
      </c>
      <c r="M4" s="112"/>
      <c r="N4" s="112"/>
      <c r="O4" s="112"/>
    </row>
    <row r="5" spans="1:15" x14ac:dyDescent="0.35">
      <c r="A5" s="178"/>
      <c r="B5" s="180"/>
      <c r="C5" s="116">
        <v>3</v>
      </c>
      <c r="D5" s="114" t="s">
        <v>152</v>
      </c>
      <c r="E5" s="114"/>
      <c r="F5" s="114"/>
      <c r="G5" s="114"/>
      <c r="I5" s="178"/>
      <c r="J5" s="180"/>
      <c r="K5" s="116">
        <v>3</v>
      </c>
      <c r="L5" s="114" t="s">
        <v>159</v>
      </c>
      <c r="M5" s="114"/>
      <c r="N5" s="114"/>
      <c r="O5" s="114"/>
    </row>
    <row r="6" spans="1:15" x14ac:dyDescent="0.35">
      <c r="A6" s="178"/>
      <c r="B6" s="180"/>
      <c r="C6" s="117">
        <v>4</v>
      </c>
      <c r="D6" s="113" t="s">
        <v>153</v>
      </c>
      <c r="E6" s="113"/>
      <c r="F6" s="113"/>
      <c r="G6" s="113"/>
      <c r="I6" s="178"/>
      <c r="J6" s="180"/>
      <c r="K6" s="117">
        <v>4</v>
      </c>
      <c r="L6" s="113" t="s">
        <v>153</v>
      </c>
      <c r="M6" s="113"/>
      <c r="N6" s="113"/>
      <c r="O6" s="113"/>
    </row>
    <row r="7" spans="1:15" x14ac:dyDescent="0.35">
      <c r="A7" s="178"/>
      <c r="B7" s="180"/>
      <c r="C7" s="117">
        <v>5</v>
      </c>
      <c r="D7" s="113" t="s">
        <v>108</v>
      </c>
      <c r="E7" s="113"/>
      <c r="F7" s="113"/>
      <c r="G7" s="113"/>
      <c r="I7" s="178"/>
      <c r="J7" s="180"/>
      <c r="K7" s="117">
        <v>5</v>
      </c>
      <c r="L7" s="113" t="s">
        <v>162</v>
      </c>
      <c r="M7" s="113"/>
      <c r="N7" s="113"/>
      <c r="O7" s="113"/>
    </row>
    <row r="8" spans="1:15" ht="15" thickBot="1" x14ac:dyDescent="0.4">
      <c r="A8" s="179"/>
      <c r="B8" s="181"/>
      <c r="C8" s="111">
        <v>6</v>
      </c>
      <c r="D8" s="32" t="s">
        <v>154</v>
      </c>
      <c r="E8" s="32"/>
      <c r="F8" s="32"/>
      <c r="G8" s="32"/>
      <c r="I8" s="179"/>
      <c r="J8" s="181"/>
      <c r="K8" s="111">
        <v>6</v>
      </c>
      <c r="L8" s="32" t="s">
        <v>160</v>
      </c>
      <c r="M8" s="32"/>
      <c r="N8" s="32"/>
      <c r="O8" s="32"/>
    </row>
    <row r="9" spans="1:15" ht="15.5" thickTop="1" thickBot="1" x14ac:dyDescent="0.4"/>
    <row r="10" spans="1:15" ht="30" thickTop="1" thickBot="1" x14ac:dyDescent="0.4">
      <c r="A10" s="118" t="s">
        <v>143</v>
      </c>
      <c r="B10" s="118" t="s">
        <v>144</v>
      </c>
      <c r="C10" s="119" t="s">
        <v>145</v>
      </c>
      <c r="D10" s="120" t="s">
        <v>155</v>
      </c>
      <c r="E10" s="120" t="s">
        <v>146</v>
      </c>
      <c r="F10" s="120" t="s">
        <v>147</v>
      </c>
      <c r="G10" s="120" t="s">
        <v>148</v>
      </c>
      <c r="I10" s="118" t="s">
        <v>143</v>
      </c>
      <c r="J10" s="118" t="s">
        <v>144</v>
      </c>
      <c r="K10" s="119" t="s">
        <v>145</v>
      </c>
      <c r="L10" s="120" t="s">
        <v>155</v>
      </c>
      <c r="M10" s="120" t="s">
        <v>146</v>
      </c>
      <c r="N10" s="120" t="s">
        <v>147</v>
      </c>
      <c r="O10" s="120" t="s">
        <v>148</v>
      </c>
    </row>
    <row r="11" spans="1:15" ht="15" customHeight="1" thickTop="1" x14ac:dyDescent="0.35">
      <c r="A11" s="178">
        <v>41534</v>
      </c>
      <c r="B11" s="180" t="s">
        <v>164</v>
      </c>
      <c r="C11" s="110">
        <v>1</v>
      </c>
      <c r="D11" s="34" t="s">
        <v>156</v>
      </c>
      <c r="E11" s="34"/>
      <c r="F11" s="34"/>
      <c r="G11" s="34"/>
      <c r="I11" s="178">
        <v>41537</v>
      </c>
      <c r="J11" s="180" t="s">
        <v>167</v>
      </c>
      <c r="K11" s="110">
        <v>1</v>
      </c>
      <c r="L11" s="34" t="s">
        <v>150</v>
      </c>
      <c r="M11" s="34"/>
      <c r="N11" s="34"/>
      <c r="O11" s="34"/>
    </row>
    <row r="12" spans="1:15" x14ac:dyDescent="0.35">
      <c r="A12" s="178"/>
      <c r="B12" s="180"/>
      <c r="C12" s="115">
        <v>2</v>
      </c>
      <c r="D12" s="112" t="s">
        <v>157</v>
      </c>
      <c r="E12" s="112"/>
      <c r="F12" s="112"/>
      <c r="G12" s="112"/>
      <c r="I12" s="178"/>
      <c r="J12" s="180"/>
      <c r="K12" s="115">
        <v>2</v>
      </c>
      <c r="L12" s="112" t="s">
        <v>153</v>
      </c>
      <c r="M12" s="112"/>
      <c r="N12" s="112"/>
      <c r="O12" s="112"/>
    </row>
    <row r="13" spans="1:15" x14ac:dyDescent="0.35">
      <c r="A13" s="178"/>
      <c r="B13" s="180"/>
      <c r="C13" s="116">
        <v>3</v>
      </c>
      <c r="D13" s="114" t="s">
        <v>158</v>
      </c>
      <c r="E13" s="114"/>
      <c r="F13" s="114"/>
      <c r="G13" s="114"/>
      <c r="I13" s="178"/>
      <c r="J13" s="180"/>
      <c r="K13" s="116">
        <v>3</v>
      </c>
      <c r="L13" s="114" t="s">
        <v>154</v>
      </c>
      <c r="M13" s="114"/>
      <c r="N13" s="114"/>
      <c r="O13" s="114"/>
    </row>
    <row r="14" spans="1:15" x14ac:dyDescent="0.35">
      <c r="A14" s="178"/>
      <c r="B14" s="180"/>
      <c r="C14" s="117">
        <v>4</v>
      </c>
      <c r="D14" s="113" t="s">
        <v>109</v>
      </c>
      <c r="E14" s="113"/>
      <c r="F14" s="113"/>
      <c r="G14" s="113"/>
      <c r="I14" s="178"/>
      <c r="J14" s="180"/>
      <c r="K14" s="117">
        <v>4</v>
      </c>
      <c r="L14" s="113" t="s">
        <v>156</v>
      </c>
      <c r="M14" s="113"/>
      <c r="N14" s="113"/>
      <c r="O14" s="113"/>
    </row>
    <row r="15" spans="1:15" x14ac:dyDescent="0.35">
      <c r="A15" s="178"/>
      <c r="B15" s="180"/>
      <c r="C15" s="117">
        <v>5</v>
      </c>
      <c r="D15" s="113" t="s">
        <v>159</v>
      </c>
      <c r="E15" s="113"/>
      <c r="F15" s="113"/>
      <c r="G15" s="113"/>
      <c r="I15" s="178"/>
      <c r="J15" s="180"/>
      <c r="K15" s="117">
        <v>5</v>
      </c>
      <c r="L15" s="113" t="s">
        <v>108</v>
      </c>
      <c r="M15" s="113"/>
      <c r="N15" s="113"/>
      <c r="O15" s="113"/>
    </row>
    <row r="16" spans="1:15" ht="15" thickBot="1" x14ac:dyDescent="0.4">
      <c r="A16" s="179"/>
      <c r="B16" s="181"/>
      <c r="C16" s="111">
        <v>6</v>
      </c>
      <c r="D16" s="32" t="s">
        <v>160</v>
      </c>
      <c r="E16" s="32"/>
      <c r="F16" s="32"/>
      <c r="G16" s="32"/>
      <c r="I16" s="179"/>
      <c r="J16" s="181"/>
      <c r="K16" s="111">
        <v>6</v>
      </c>
      <c r="L16" s="32"/>
      <c r="M16" s="32"/>
      <c r="N16" s="32"/>
      <c r="O16" s="32"/>
    </row>
    <row r="17" spans="1:15" ht="15.5" thickTop="1" thickBot="1" x14ac:dyDescent="0.4"/>
    <row r="18" spans="1:15" ht="30" thickTop="1" thickBot="1" x14ac:dyDescent="0.4">
      <c r="A18" s="118" t="s">
        <v>143</v>
      </c>
      <c r="B18" s="118" t="s">
        <v>144</v>
      </c>
      <c r="C18" s="119" t="s">
        <v>145</v>
      </c>
      <c r="D18" s="120" t="s">
        <v>155</v>
      </c>
      <c r="E18" s="120" t="s">
        <v>146</v>
      </c>
      <c r="F18" s="120" t="s">
        <v>147</v>
      </c>
      <c r="G18" s="120" t="s">
        <v>148</v>
      </c>
      <c r="I18" s="118" t="s">
        <v>143</v>
      </c>
      <c r="J18" s="118" t="s">
        <v>144</v>
      </c>
      <c r="K18" s="119" t="s">
        <v>145</v>
      </c>
      <c r="L18" s="120" t="s">
        <v>155</v>
      </c>
      <c r="M18" s="120" t="s">
        <v>146</v>
      </c>
      <c r="N18" s="120" t="s">
        <v>147</v>
      </c>
      <c r="O18" s="120" t="s">
        <v>148</v>
      </c>
    </row>
    <row r="19" spans="1:15" ht="15" customHeight="1" thickTop="1" x14ac:dyDescent="0.35">
      <c r="A19" s="178">
        <v>41535</v>
      </c>
      <c r="B19" s="180" t="s">
        <v>165</v>
      </c>
      <c r="C19" s="110">
        <v>1</v>
      </c>
      <c r="D19" s="34" t="s">
        <v>153</v>
      </c>
      <c r="E19" s="34"/>
      <c r="F19" s="34"/>
      <c r="G19" s="34"/>
      <c r="I19" s="178">
        <v>41538</v>
      </c>
      <c r="J19" s="180" t="s">
        <v>168</v>
      </c>
      <c r="K19" s="110">
        <v>1</v>
      </c>
      <c r="L19" s="34" t="s">
        <v>157</v>
      </c>
      <c r="M19" s="34"/>
      <c r="N19" s="34"/>
      <c r="O19" s="34"/>
    </row>
    <row r="20" spans="1:15" x14ac:dyDescent="0.35">
      <c r="A20" s="178"/>
      <c r="B20" s="180"/>
      <c r="C20" s="115">
        <v>2</v>
      </c>
      <c r="D20" s="112" t="s">
        <v>108</v>
      </c>
      <c r="E20" s="112"/>
      <c r="F20" s="112"/>
      <c r="G20" s="112"/>
      <c r="I20" s="178"/>
      <c r="J20" s="180"/>
      <c r="K20" s="115">
        <v>2</v>
      </c>
      <c r="L20" s="112" t="s">
        <v>109</v>
      </c>
      <c r="M20" s="112"/>
      <c r="N20" s="112"/>
      <c r="O20" s="112"/>
    </row>
    <row r="21" spans="1:15" x14ac:dyDescent="0.35">
      <c r="A21" s="178"/>
      <c r="B21" s="180"/>
      <c r="C21" s="116">
        <v>3</v>
      </c>
      <c r="D21" s="114" t="s">
        <v>152</v>
      </c>
      <c r="E21" s="114"/>
      <c r="F21" s="114"/>
      <c r="G21" s="114"/>
      <c r="I21" s="178"/>
      <c r="J21" s="180"/>
      <c r="K21" s="116">
        <v>3</v>
      </c>
      <c r="L21" s="114" t="s">
        <v>160</v>
      </c>
      <c r="M21" s="114"/>
      <c r="N21" s="114"/>
      <c r="O21" s="114"/>
    </row>
    <row r="22" spans="1:15" x14ac:dyDescent="0.35">
      <c r="A22" s="178"/>
      <c r="B22" s="180"/>
      <c r="C22" s="117">
        <v>4</v>
      </c>
      <c r="D22" s="113" t="s">
        <v>151</v>
      </c>
      <c r="E22" s="113"/>
      <c r="F22" s="113"/>
      <c r="G22" s="113"/>
      <c r="I22" s="178"/>
      <c r="J22" s="180"/>
      <c r="K22" s="117">
        <v>4</v>
      </c>
      <c r="L22" s="113"/>
      <c r="M22" s="113"/>
      <c r="N22" s="113"/>
      <c r="O22" s="113"/>
    </row>
    <row r="23" spans="1:15" x14ac:dyDescent="0.35">
      <c r="A23" s="178"/>
      <c r="B23" s="180"/>
      <c r="C23" s="117">
        <v>5</v>
      </c>
      <c r="D23" s="113" t="s">
        <v>161</v>
      </c>
      <c r="E23" s="113"/>
      <c r="F23" s="113"/>
      <c r="G23" s="113"/>
      <c r="I23" s="178"/>
      <c r="J23" s="180"/>
      <c r="K23" s="117">
        <v>5</v>
      </c>
      <c r="L23" s="113"/>
      <c r="M23" s="113"/>
      <c r="N23" s="113"/>
      <c r="O23" s="113"/>
    </row>
    <row r="24" spans="1:15" ht="15" thickBot="1" x14ac:dyDescent="0.4">
      <c r="A24" s="179"/>
      <c r="B24" s="181"/>
      <c r="C24" s="111">
        <v>6</v>
      </c>
      <c r="D24" s="32"/>
      <c r="E24" s="32"/>
      <c r="F24" s="32"/>
      <c r="G24" s="32"/>
      <c r="I24" s="179"/>
      <c r="J24" s="181"/>
      <c r="K24" s="111">
        <v>6</v>
      </c>
      <c r="L24" s="32"/>
      <c r="M24" s="32"/>
      <c r="N24" s="32"/>
      <c r="O24" s="32"/>
    </row>
    <row r="25" spans="1:15" ht="15" thickTop="1" x14ac:dyDescent="0.35"/>
  </sheetData>
  <mergeCells count="14">
    <mergeCell ref="A11:A16"/>
    <mergeCell ref="B11:B16"/>
    <mergeCell ref="I11:I16"/>
    <mergeCell ref="J11:J16"/>
    <mergeCell ref="A19:A24"/>
    <mergeCell ref="B19:B24"/>
    <mergeCell ref="I19:I24"/>
    <mergeCell ref="J19:J24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0" r:id="rId3" name="CommandButton2">
          <controlPr defaultSize="0" autoLine="0" r:id="rId4">
            <anchor moveWithCells="1">
              <from>
                <xdr:col>0</xdr:col>
                <xdr:colOff>342900</xdr:colOff>
                <xdr:row>24</xdr:row>
                <xdr:rowOff>171450</xdr:rowOff>
              </from>
              <to>
                <xdr:col>2</xdr:col>
                <xdr:colOff>44450</xdr:colOff>
                <xdr:row>26</xdr:row>
                <xdr:rowOff>114300</xdr:rowOff>
              </to>
            </anchor>
          </controlPr>
        </control>
      </mc:Choice>
      <mc:Fallback>
        <control shapeId="17410" r:id="rId3" name="CommandButton2"/>
      </mc:Fallback>
    </mc:AlternateContent>
    <mc:AlternateContent xmlns:mc="http://schemas.openxmlformats.org/markup-compatibility/2006">
      <mc:Choice Requires="x14">
        <control shapeId="17409" r:id="rId5" name="CommandButton1">
          <controlPr defaultSize="0" autoLine="0" r:id="rId6">
            <anchor moveWithCells="1">
              <from>
                <xdr:col>13</xdr:col>
                <xdr:colOff>146050</xdr:colOff>
                <xdr:row>24</xdr:row>
                <xdr:rowOff>171450</xdr:rowOff>
              </from>
              <to>
                <xdr:col>14</xdr:col>
                <xdr:colOff>450850</xdr:colOff>
                <xdr:row>26</xdr:row>
                <xdr:rowOff>114300</xdr:rowOff>
              </to>
            </anchor>
          </controlPr>
        </control>
      </mc:Choice>
      <mc:Fallback>
        <control shapeId="17409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7888-B10B-4270-90BD-861BEF698ECA}">
  <sheetPr codeName="Лист11"/>
  <dimension ref="A1:O25"/>
  <sheetViews>
    <sheetView zoomScale="74" zoomScaleNormal="74" workbookViewId="0">
      <selection activeCell="T18" sqref="T18"/>
    </sheetView>
  </sheetViews>
  <sheetFormatPr defaultRowHeight="14.5" x14ac:dyDescent="0.35"/>
  <cols>
    <col min="2" max="2" width="8.7265625" customWidth="1"/>
    <col min="3" max="3" width="7.26953125" customWidth="1"/>
    <col min="4" max="4" width="16.26953125" customWidth="1"/>
    <col min="5" max="5" width="18.90625" customWidth="1"/>
    <col min="12" max="12" width="15.7265625" customWidth="1"/>
    <col min="13" max="13" width="20.453125" customWidth="1"/>
  </cols>
  <sheetData>
    <row r="1" spans="1:15" ht="15" thickBot="1" x14ac:dyDescent="0.4">
      <c r="D1" s="123" t="s">
        <v>149</v>
      </c>
      <c r="E1" s="123"/>
      <c r="F1" s="109" t="s">
        <v>169</v>
      </c>
      <c r="L1" s="123" t="s">
        <v>149</v>
      </c>
      <c r="M1" s="123"/>
      <c r="N1" s="109" t="s">
        <v>169</v>
      </c>
    </row>
    <row r="2" spans="1:15" ht="30" thickTop="1" thickBot="1" x14ac:dyDescent="0.4">
      <c r="A2" s="118" t="s">
        <v>143</v>
      </c>
      <c r="B2" s="118" t="s">
        <v>144</v>
      </c>
      <c r="C2" s="119" t="s">
        <v>145</v>
      </c>
      <c r="D2" s="120" t="s">
        <v>155</v>
      </c>
      <c r="E2" s="120" t="s">
        <v>146</v>
      </c>
      <c r="F2" s="120" t="s">
        <v>147</v>
      </c>
      <c r="G2" s="120" t="s">
        <v>148</v>
      </c>
      <c r="I2" s="118" t="s">
        <v>143</v>
      </c>
      <c r="J2" s="118" t="s">
        <v>144</v>
      </c>
      <c r="K2" s="119" t="s">
        <v>145</v>
      </c>
      <c r="L2" s="120" t="s">
        <v>155</v>
      </c>
      <c r="M2" s="120" t="s">
        <v>146</v>
      </c>
      <c r="N2" s="120" t="s">
        <v>147</v>
      </c>
      <c r="O2" s="120" t="s">
        <v>148</v>
      </c>
    </row>
    <row r="3" spans="1:15" ht="15" customHeight="1" thickTop="1" x14ac:dyDescent="0.35">
      <c r="A3" s="178">
        <v>41526</v>
      </c>
      <c r="B3" s="180" t="s">
        <v>163</v>
      </c>
      <c r="C3" s="110">
        <v>1</v>
      </c>
      <c r="D3" s="34" t="s">
        <v>150</v>
      </c>
      <c r="E3" s="34"/>
      <c r="F3" s="34"/>
      <c r="G3" s="34"/>
      <c r="I3" s="178">
        <v>41529</v>
      </c>
      <c r="J3" s="180" t="s">
        <v>166</v>
      </c>
      <c r="K3" s="110">
        <v>1</v>
      </c>
      <c r="L3" s="34" t="s">
        <v>158</v>
      </c>
      <c r="M3" s="34"/>
      <c r="N3" s="34"/>
      <c r="O3" s="34"/>
    </row>
    <row r="4" spans="1:15" x14ac:dyDescent="0.35">
      <c r="A4" s="178"/>
      <c r="B4" s="180"/>
      <c r="C4" s="115">
        <v>2</v>
      </c>
      <c r="D4" s="112" t="s">
        <v>151</v>
      </c>
      <c r="E4" s="112"/>
      <c r="F4" s="112"/>
      <c r="G4" s="112"/>
      <c r="I4" s="178"/>
      <c r="J4" s="180"/>
      <c r="K4" s="115">
        <v>2</v>
      </c>
      <c r="L4" s="112" t="s">
        <v>151</v>
      </c>
      <c r="M4" s="112"/>
      <c r="N4" s="112"/>
      <c r="O4" s="112"/>
    </row>
    <row r="5" spans="1:15" x14ac:dyDescent="0.35">
      <c r="A5" s="178"/>
      <c r="B5" s="180"/>
      <c r="C5" s="116">
        <v>3</v>
      </c>
      <c r="D5" s="114" t="s">
        <v>152</v>
      </c>
      <c r="E5" s="114"/>
      <c r="F5" s="114"/>
      <c r="G5" s="114"/>
      <c r="I5" s="178"/>
      <c r="J5" s="180"/>
      <c r="K5" s="116">
        <v>3</v>
      </c>
      <c r="L5" s="114" t="s">
        <v>159</v>
      </c>
      <c r="M5" s="114"/>
      <c r="N5" s="114"/>
      <c r="O5" s="114"/>
    </row>
    <row r="6" spans="1:15" x14ac:dyDescent="0.35">
      <c r="A6" s="178"/>
      <c r="B6" s="180"/>
      <c r="C6" s="117">
        <v>4</v>
      </c>
      <c r="D6" s="113" t="s">
        <v>153</v>
      </c>
      <c r="E6" s="113"/>
      <c r="F6" s="113"/>
      <c r="G6" s="113"/>
      <c r="I6" s="178"/>
      <c r="J6" s="180"/>
      <c r="K6" s="117">
        <v>4</v>
      </c>
      <c r="L6" s="113" t="s">
        <v>153</v>
      </c>
      <c r="M6" s="113"/>
      <c r="N6" s="113"/>
      <c r="O6" s="113"/>
    </row>
    <row r="7" spans="1:15" x14ac:dyDescent="0.35">
      <c r="A7" s="178"/>
      <c r="B7" s="180"/>
      <c r="C7" s="117">
        <v>5</v>
      </c>
      <c r="D7" s="113" t="s">
        <v>108</v>
      </c>
      <c r="E7" s="113"/>
      <c r="F7" s="113"/>
      <c r="G7" s="113"/>
      <c r="I7" s="178"/>
      <c r="J7" s="180"/>
      <c r="K7" s="117">
        <v>5</v>
      </c>
      <c r="L7" s="113" t="s">
        <v>162</v>
      </c>
      <c r="M7" s="113"/>
      <c r="N7" s="113"/>
      <c r="O7" s="113"/>
    </row>
    <row r="8" spans="1:15" ht="15" thickBot="1" x14ac:dyDescent="0.4">
      <c r="A8" s="179"/>
      <c r="B8" s="181"/>
      <c r="C8" s="111">
        <v>6</v>
      </c>
      <c r="D8" s="32" t="s">
        <v>154</v>
      </c>
      <c r="E8" s="32"/>
      <c r="F8" s="32"/>
      <c r="G8" s="32"/>
      <c r="I8" s="179"/>
      <c r="J8" s="181"/>
      <c r="K8" s="111">
        <v>6</v>
      </c>
      <c r="L8" s="32" t="s">
        <v>160</v>
      </c>
      <c r="M8" s="32"/>
      <c r="N8" s="32"/>
      <c r="O8" s="32"/>
    </row>
    <row r="9" spans="1:15" ht="15.5" thickTop="1" thickBot="1" x14ac:dyDescent="0.4"/>
    <row r="10" spans="1:15" ht="30" thickTop="1" thickBot="1" x14ac:dyDescent="0.4">
      <c r="A10" s="118" t="s">
        <v>143</v>
      </c>
      <c r="B10" s="118" t="s">
        <v>144</v>
      </c>
      <c r="C10" s="119" t="s">
        <v>145</v>
      </c>
      <c r="D10" s="120" t="s">
        <v>155</v>
      </c>
      <c r="E10" s="120" t="s">
        <v>146</v>
      </c>
      <c r="F10" s="120" t="s">
        <v>147</v>
      </c>
      <c r="G10" s="120" t="s">
        <v>148</v>
      </c>
      <c r="I10" s="118" t="s">
        <v>143</v>
      </c>
      <c r="J10" s="118" t="s">
        <v>144</v>
      </c>
      <c r="K10" s="119" t="s">
        <v>145</v>
      </c>
      <c r="L10" s="120" t="s">
        <v>155</v>
      </c>
      <c r="M10" s="120" t="s">
        <v>146</v>
      </c>
      <c r="N10" s="120" t="s">
        <v>147</v>
      </c>
      <c r="O10" s="120" t="s">
        <v>148</v>
      </c>
    </row>
    <row r="11" spans="1:15" ht="15" customHeight="1" thickTop="1" x14ac:dyDescent="0.35">
      <c r="A11" s="178">
        <v>41527</v>
      </c>
      <c r="B11" s="180" t="s">
        <v>164</v>
      </c>
      <c r="C11" s="110">
        <v>1</v>
      </c>
      <c r="D11" s="34" t="s">
        <v>156</v>
      </c>
      <c r="E11" s="34"/>
      <c r="F11" s="34"/>
      <c r="G11" s="34"/>
      <c r="I11" s="178">
        <v>41530</v>
      </c>
      <c r="J11" s="180" t="s">
        <v>167</v>
      </c>
      <c r="K11" s="110">
        <v>1</v>
      </c>
      <c r="L11" s="34" t="s">
        <v>150</v>
      </c>
      <c r="M11" s="34"/>
      <c r="N11" s="34"/>
      <c r="O11" s="34"/>
    </row>
    <row r="12" spans="1:15" x14ac:dyDescent="0.35">
      <c r="A12" s="178"/>
      <c r="B12" s="180"/>
      <c r="C12" s="115">
        <v>2</v>
      </c>
      <c r="D12" s="112" t="s">
        <v>157</v>
      </c>
      <c r="E12" s="112"/>
      <c r="F12" s="112"/>
      <c r="G12" s="112"/>
      <c r="I12" s="178"/>
      <c r="J12" s="180"/>
      <c r="K12" s="115">
        <v>2</v>
      </c>
      <c r="L12" s="112" t="s">
        <v>153</v>
      </c>
      <c r="M12" s="112"/>
      <c r="N12" s="112"/>
      <c r="O12" s="112"/>
    </row>
    <row r="13" spans="1:15" x14ac:dyDescent="0.35">
      <c r="A13" s="178"/>
      <c r="B13" s="180"/>
      <c r="C13" s="116">
        <v>3</v>
      </c>
      <c r="D13" s="114" t="s">
        <v>158</v>
      </c>
      <c r="E13" s="114"/>
      <c r="F13" s="114"/>
      <c r="G13" s="114"/>
      <c r="I13" s="178"/>
      <c r="J13" s="180"/>
      <c r="K13" s="116">
        <v>3</v>
      </c>
      <c r="L13" s="114" t="s">
        <v>154</v>
      </c>
      <c r="M13" s="114"/>
      <c r="N13" s="114"/>
      <c r="O13" s="114"/>
    </row>
    <row r="14" spans="1:15" x14ac:dyDescent="0.35">
      <c r="A14" s="178"/>
      <c r="B14" s="180"/>
      <c r="C14" s="117">
        <v>4</v>
      </c>
      <c r="D14" s="113" t="s">
        <v>109</v>
      </c>
      <c r="E14" s="113"/>
      <c r="F14" s="113"/>
      <c r="G14" s="113"/>
      <c r="I14" s="178"/>
      <c r="J14" s="180"/>
      <c r="K14" s="117">
        <v>4</v>
      </c>
      <c r="L14" s="113" t="s">
        <v>156</v>
      </c>
      <c r="M14" s="113"/>
      <c r="N14" s="113"/>
      <c r="O14" s="113"/>
    </row>
    <row r="15" spans="1:15" x14ac:dyDescent="0.35">
      <c r="A15" s="178"/>
      <c r="B15" s="180"/>
      <c r="C15" s="117">
        <v>5</v>
      </c>
      <c r="D15" s="113" t="s">
        <v>159</v>
      </c>
      <c r="E15" s="113"/>
      <c r="F15" s="113"/>
      <c r="G15" s="113"/>
      <c r="I15" s="178"/>
      <c r="J15" s="180"/>
      <c r="K15" s="117">
        <v>5</v>
      </c>
      <c r="L15" s="113" t="s">
        <v>108</v>
      </c>
      <c r="M15" s="113"/>
      <c r="N15" s="113"/>
      <c r="O15" s="113"/>
    </row>
    <row r="16" spans="1:15" ht="15" thickBot="1" x14ac:dyDescent="0.4">
      <c r="A16" s="179"/>
      <c r="B16" s="181"/>
      <c r="C16" s="111">
        <v>6</v>
      </c>
      <c r="D16" s="32" t="s">
        <v>160</v>
      </c>
      <c r="E16" s="32"/>
      <c r="F16" s="32"/>
      <c r="G16" s="32"/>
      <c r="I16" s="179"/>
      <c r="J16" s="181"/>
      <c r="K16" s="111">
        <v>6</v>
      </c>
      <c r="L16" s="32"/>
      <c r="M16" s="32"/>
      <c r="N16" s="32"/>
      <c r="O16" s="32"/>
    </row>
    <row r="17" spans="1:15" ht="15.5" thickTop="1" thickBot="1" x14ac:dyDescent="0.4"/>
    <row r="18" spans="1:15" ht="30" thickTop="1" thickBot="1" x14ac:dyDescent="0.4">
      <c r="A18" s="118" t="s">
        <v>143</v>
      </c>
      <c r="B18" s="118" t="s">
        <v>144</v>
      </c>
      <c r="C18" s="119" t="s">
        <v>145</v>
      </c>
      <c r="D18" s="120" t="s">
        <v>155</v>
      </c>
      <c r="E18" s="120" t="s">
        <v>146</v>
      </c>
      <c r="F18" s="120" t="s">
        <v>147</v>
      </c>
      <c r="G18" s="120" t="s">
        <v>148</v>
      </c>
      <c r="I18" s="118" t="s">
        <v>143</v>
      </c>
      <c r="J18" s="118" t="s">
        <v>144</v>
      </c>
      <c r="K18" s="119" t="s">
        <v>145</v>
      </c>
      <c r="L18" s="120" t="s">
        <v>155</v>
      </c>
      <c r="M18" s="120" t="s">
        <v>146</v>
      </c>
      <c r="N18" s="120" t="s">
        <v>147</v>
      </c>
      <c r="O18" s="120" t="s">
        <v>148</v>
      </c>
    </row>
    <row r="19" spans="1:15" ht="15" customHeight="1" thickTop="1" x14ac:dyDescent="0.35">
      <c r="A19" s="178">
        <v>41528</v>
      </c>
      <c r="B19" s="180" t="s">
        <v>165</v>
      </c>
      <c r="C19" s="110">
        <v>1</v>
      </c>
      <c r="D19" s="34" t="s">
        <v>153</v>
      </c>
      <c r="E19" s="34"/>
      <c r="F19" s="34"/>
      <c r="G19" s="34"/>
      <c r="I19" s="178">
        <v>41531</v>
      </c>
      <c r="J19" s="180" t="s">
        <v>168</v>
      </c>
      <c r="K19" s="110">
        <v>1</v>
      </c>
      <c r="L19" s="34" t="s">
        <v>157</v>
      </c>
      <c r="M19" s="34"/>
      <c r="N19" s="34"/>
      <c r="O19" s="34"/>
    </row>
    <row r="20" spans="1:15" x14ac:dyDescent="0.35">
      <c r="A20" s="178"/>
      <c r="B20" s="180"/>
      <c r="C20" s="115">
        <v>2</v>
      </c>
      <c r="D20" s="112" t="s">
        <v>108</v>
      </c>
      <c r="E20" s="112"/>
      <c r="F20" s="112"/>
      <c r="G20" s="112"/>
      <c r="I20" s="178"/>
      <c r="J20" s="180"/>
      <c r="K20" s="115">
        <v>2</v>
      </c>
      <c r="L20" s="112" t="s">
        <v>109</v>
      </c>
      <c r="M20" s="112"/>
      <c r="N20" s="112"/>
      <c r="O20" s="112"/>
    </row>
    <row r="21" spans="1:15" x14ac:dyDescent="0.35">
      <c r="A21" s="178"/>
      <c r="B21" s="180"/>
      <c r="C21" s="116">
        <v>3</v>
      </c>
      <c r="D21" s="114" t="s">
        <v>152</v>
      </c>
      <c r="E21" s="114"/>
      <c r="F21" s="114"/>
      <c r="G21" s="114"/>
      <c r="I21" s="178"/>
      <c r="J21" s="180"/>
      <c r="K21" s="116">
        <v>3</v>
      </c>
      <c r="L21" s="114" t="s">
        <v>160</v>
      </c>
      <c r="M21" s="114"/>
      <c r="N21" s="114"/>
      <c r="O21" s="114"/>
    </row>
    <row r="22" spans="1:15" x14ac:dyDescent="0.35">
      <c r="A22" s="178"/>
      <c r="B22" s="180"/>
      <c r="C22" s="117">
        <v>4</v>
      </c>
      <c r="D22" s="113" t="s">
        <v>151</v>
      </c>
      <c r="E22" s="113"/>
      <c r="F22" s="113"/>
      <c r="G22" s="113"/>
      <c r="I22" s="178"/>
      <c r="J22" s="180"/>
      <c r="K22" s="117">
        <v>4</v>
      </c>
      <c r="L22" s="113"/>
      <c r="M22" s="113"/>
      <c r="N22" s="113"/>
      <c r="O22" s="113"/>
    </row>
    <row r="23" spans="1:15" x14ac:dyDescent="0.35">
      <c r="A23" s="178"/>
      <c r="B23" s="180"/>
      <c r="C23" s="117">
        <v>5</v>
      </c>
      <c r="D23" s="113" t="s">
        <v>161</v>
      </c>
      <c r="E23" s="113"/>
      <c r="F23" s="113"/>
      <c r="G23" s="113"/>
      <c r="I23" s="178"/>
      <c r="J23" s="180"/>
      <c r="K23" s="117">
        <v>5</v>
      </c>
      <c r="L23" s="113"/>
      <c r="M23" s="113"/>
      <c r="N23" s="113"/>
      <c r="O23" s="113"/>
    </row>
    <row r="24" spans="1:15" ht="15" thickBot="1" x14ac:dyDescent="0.4">
      <c r="A24" s="179"/>
      <c r="B24" s="181"/>
      <c r="C24" s="111">
        <v>6</v>
      </c>
      <c r="D24" s="32"/>
      <c r="E24" s="32"/>
      <c r="F24" s="32"/>
      <c r="G24" s="32"/>
      <c r="I24" s="179"/>
      <c r="J24" s="181"/>
      <c r="K24" s="111">
        <v>6</v>
      </c>
      <c r="L24" s="32"/>
      <c r="M24" s="32"/>
      <c r="N24" s="32"/>
      <c r="O24" s="32"/>
    </row>
    <row r="25" spans="1:15" ht="15" thickTop="1" x14ac:dyDescent="0.35"/>
  </sheetData>
  <mergeCells count="14">
    <mergeCell ref="A11:A16"/>
    <mergeCell ref="B11:B16"/>
    <mergeCell ref="I11:I16"/>
    <mergeCell ref="J11:J16"/>
    <mergeCell ref="A19:A24"/>
    <mergeCell ref="B19:B24"/>
    <mergeCell ref="I19:I24"/>
    <mergeCell ref="J19:J24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CommandButton2">
          <controlPr defaultSize="0" autoLine="0" r:id="rId4">
            <anchor moveWithCells="1">
              <from>
                <xdr:col>0</xdr:col>
                <xdr:colOff>342900</xdr:colOff>
                <xdr:row>24</xdr:row>
                <xdr:rowOff>171450</xdr:rowOff>
              </from>
              <to>
                <xdr:col>2</xdr:col>
                <xdr:colOff>44450</xdr:colOff>
                <xdr:row>26</xdr:row>
                <xdr:rowOff>114300</xdr:rowOff>
              </to>
            </anchor>
          </controlPr>
        </control>
      </mc:Choice>
      <mc:Fallback>
        <control shapeId="18434" r:id="rId3" name="CommandButton2"/>
      </mc:Fallback>
    </mc:AlternateContent>
    <mc:AlternateContent xmlns:mc="http://schemas.openxmlformats.org/markup-compatibility/2006">
      <mc:Choice Requires="x14">
        <control shapeId="18433" r:id="rId5" name="CommandButton1">
          <controlPr defaultSize="0" autoLine="0" r:id="rId6">
            <anchor moveWithCells="1">
              <from>
                <xdr:col>13</xdr:col>
                <xdr:colOff>146050</xdr:colOff>
                <xdr:row>24</xdr:row>
                <xdr:rowOff>171450</xdr:rowOff>
              </from>
              <to>
                <xdr:col>14</xdr:col>
                <xdr:colOff>450850</xdr:colOff>
                <xdr:row>26</xdr:row>
                <xdr:rowOff>114300</xdr:rowOff>
              </to>
            </anchor>
          </controlPr>
        </control>
      </mc:Choice>
      <mc:Fallback>
        <control shapeId="18433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58B67-F28D-4B9E-AF80-5EFE7B783AA0}">
  <sheetPr codeName="Лист12"/>
  <dimension ref="A1:O25"/>
  <sheetViews>
    <sheetView zoomScale="74" zoomScaleNormal="74" workbookViewId="0">
      <selection activeCell="T18" sqref="T18"/>
    </sheetView>
  </sheetViews>
  <sheetFormatPr defaultRowHeight="14.5" x14ac:dyDescent="0.35"/>
  <cols>
    <col min="2" max="2" width="8.7265625" customWidth="1"/>
    <col min="3" max="3" width="7.26953125" customWidth="1"/>
    <col min="4" max="4" width="16.26953125" customWidth="1"/>
    <col min="5" max="5" width="18.90625" customWidth="1"/>
    <col min="12" max="12" width="15.7265625" customWidth="1"/>
    <col min="13" max="13" width="20.453125" customWidth="1"/>
  </cols>
  <sheetData>
    <row r="1" spans="1:15" ht="15" thickBot="1" x14ac:dyDescent="0.4">
      <c r="D1" s="123" t="s">
        <v>149</v>
      </c>
      <c r="E1" s="123"/>
      <c r="F1" s="109" t="s">
        <v>169</v>
      </c>
      <c r="L1" s="123" t="s">
        <v>149</v>
      </c>
      <c r="M1" s="123"/>
      <c r="N1" s="109" t="s">
        <v>169</v>
      </c>
    </row>
    <row r="2" spans="1:15" ht="30" thickTop="1" thickBot="1" x14ac:dyDescent="0.4">
      <c r="A2" s="118" t="s">
        <v>143</v>
      </c>
      <c r="B2" s="118" t="s">
        <v>144</v>
      </c>
      <c r="C2" s="119" t="s">
        <v>145</v>
      </c>
      <c r="D2" s="120" t="s">
        <v>155</v>
      </c>
      <c r="E2" s="120" t="s">
        <v>146</v>
      </c>
      <c r="F2" s="120" t="s">
        <v>147</v>
      </c>
      <c r="G2" s="120" t="s">
        <v>148</v>
      </c>
      <c r="I2" s="118" t="s">
        <v>143</v>
      </c>
      <c r="J2" s="118" t="s">
        <v>144</v>
      </c>
      <c r="K2" s="119" t="s">
        <v>145</v>
      </c>
      <c r="L2" s="120" t="s">
        <v>155</v>
      </c>
      <c r="M2" s="120" t="s">
        <v>146</v>
      </c>
      <c r="N2" s="120" t="s">
        <v>147</v>
      </c>
      <c r="O2" s="120" t="s">
        <v>148</v>
      </c>
    </row>
    <row r="3" spans="1:15" ht="15" customHeight="1" thickTop="1" x14ac:dyDescent="0.35">
      <c r="A3" s="178">
        <v>41519</v>
      </c>
      <c r="B3" s="180" t="s">
        <v>163</v>
      </c>
      <c r="C3" s="110">
        <v>1</v>
      </c>
      <c r="D3" s="34" t="s">
        <v>150</v>
      </c>
      <c r="E3" s="34"/>
      <c r="F3" s="34"/>
      <c r="G3" s="34"/>
      <c r="I3" s="178">
        <v>41522</v>
      </c>
      <c r="J3" s="180" t="s">
        <v>166</v>
      </c>
      <c r="K3" s="110">
        <v>1</v>
      </c>
      <c r="L3" s="34" t="s">
        <v>158</v>
      </c>
      <c r="M3" s="34"/>
      <c r="N3" s="34"/>
      <c r="O3" s="34"/>
    </row>
    <row r="4" spans="1:15" x14ac:dyDescent="0.35">
      <c r="A4" s="178"/>
      <c r="B4" s="180"/>
      <c r="C4" s="115">
        <v>2</v>
      </c>
      <c r="D4" s="112" t="s">
        <v>151</v>
      </c>
      <c r="E4" s="112"/>
      <c r="F4" s="112"/>
      <c r="G4" s="112"/>
      <c r="I4" s="178"/>
      <c r="J4" s="180"/>
      <c r="K4" s="115">
        <v>2</v>
      </c>
      <c r="L4" s="112" t="s">
        <v>151</v>
      </c>
      <c r="M4" s="112"/>
      <c r="N4" s="112"/>
      <c r="O4" s="112"/>
    </row>
    <row r="5" spans="1:15" x14ac:dyDescent="0.35">
      <c r="A5" s="178"/>
      <c r="B5" s="180"/>
      <c r="C5" s="116">
        <v>3</v>
      </c>
      <c r="D5" s="114" t="s">
        <v>152</v>
      </c>
      <c r="E5" s="114"/>
      <c r="F5" s="114"/>
      <c r="G5" s="114"/>
      <c r="I5" s="178"/>
      <c r="J5" s="180"/>
      <c r="K5" s="116">
        <v>3</v>
      </c>
      <c r="L5" s="114" t="s">
        <v>159</v>
      </c>
      <c r="M5" s="114"/>
      <c r="N5" s="114"/>
      <c r="O5" s="114"/>
    </row>
    <row r="6" spans="1:15" x14ac:dyDescent="0.35">
      <c r="A6" s="178"/>
      <c r="B6" s="180"/>
      <c r="C6" s="117">
        <v>4</v>
      </c>
      <c r="D6" s="113" t="s">
        <v>153</v>
      </c>
      <c r="E6" s="113"/>
      <c r="F6" s="113"/>
      <c r="G6" s="113"/>
      <c r="I6" s="178"/>
      <c r="J6" s="180"/>
      <c r="K6" s="117">
        <v>4</v>
      </c>
      <c r="L6" s="113" t="s">
        <v>153</v>
      </c>
      <c r="M6" s="113"/>
      <c r="N6" s="113"/>
      <c r="O6" s="113"/>
    </row>
    <row r="7" spans="1:15" x14ac:dyDescent="0.35">
      <c r="A7" s="178"/>
      <c r="B7" s="180"/>
      <c r="C7" s="117">
        <v>5</v>
      </c>
      <c r="D7" s="113" t="s">
        <v>108</v>
      </c>
      <c r="E7" s="113"/>
      <c r="F7" s="113"/>
      <c r="G7" s="113"/>
      <c r="I7" s="178"/>
      <c r="J7" s="180"/>
      <c r="K7" s="117">
        <v>5</v>
      </c>
      <c r="L7" s="113" t="s">
        <v>162</v>
      </c>
      <c r="M7" s="113"/>
      <c r="N7" s="113"/>
      <c r="O7" s="113"/>
    </row>
    <row r="8" spans="1:15" ht="15" thickBot="1" x14ac:dyDescent="0.4">
      <c r="A8" s="179"/>
      <c r="B8" s="181"/>
      <c r="C8" s="111">
        <v>6</v>
      </c>
      <c r="D8" s="32" t="s">
        <v>154</v>
      </c>
      <c r="E8" s="32"/>
      <c r="F8" s="32"/>
      <c r="G8" s="32"/>
      <c r="I8" s="179"/>
      <c r="J8" s="181"/>
      <c r="K8" s="111">
        <v>6</v>
      </c>
      <c r="L8" s="32" t="s">
        <v>160</v>
      </c>
      <c r="M8" s="32"/>
      <c r="N8" s="32"/>
      <c r="O8" s="32"/>
    </row>
    <row r="9" spans="1:15" ht="15.5" thickTop="1" thickBot="1" x14ac:dyDescent="0.4"/>
    <row r="10" spans="1:15" ht="30" thickTop="1" thickBot="1" x14ac:dyDescent="0.4">
      <c r="A10" s="118" t="s">
        <v>143</v>
      </c>
      <c r="B10" s="118" t="s">
        <v>144</v>
      </c>
      <c r="C10" s="119" t="s">
        <v>145</v>
      </c>
      <c r="D10" s="120" t="s">
        <v>155</v>
      </c>
      <c r="E10" s="120" t="s">
        <v>146</v>
      </c>
      <c r="F10" s="120" t="s">
        <v>147</v>
      </c>
      <c r="G10" s="120" t="s">
        <v>148</v>
      </c>
      <c r="I10" s="118" t="s">
        <v>143</v>
      </c>
      <c r="J10" s="118" t="s">
        <v>144</v>
      </c>
      <c r="K10" s="119" t="s">
        <v>145</v>
      </c>
      <c r="L10" s="120" t="s">
        <v>155</v>
      </c>
      <c r="M10" s="120" t="s">
        <v>146</v>
      </c>
      <c r="N10" s="120" t="s">
        <v>147</v>
      </c>
      <c r="O10" s="120" t="s">
        <v>148</v>
      </c>
    </row>
    <row r="11" spans="1:15" ht="15" customHeight="1" thickTop="1" x14ac:dyDescent="0.35">
      <c r="A11" s="178">
        <v>41520</v>
      </c>
      <c r="B11" s="180" t="s">
        <v>164</v>
      </c>
      <c r="C11" s="110">
        <v>1</v>
      </c>
      <c r="D11" s="34" t="s">
        <v>156</v>
      </c>
      <c r="E11" s="34"/>
      <c r="F11" s="34"/>
      <c r="G11" s="34"/>
      <c r="I11" s="178">
        <v>41523</v>
      </c>
      <c r="J11" s="180" t="s">
        <v>167</v>
      </c>
      <c r="K11" s="110">
        <v>1</v>
      </c>
      <c r="L11" s="34" t="s">
        <v>150</v>
      </c>
      <c r="M11" s="34"/>
      <c r="N11" s="34"/>
      <c r="O11" s="34"/>
    </row>
    <row r="12" spans="1:15" x14ac:dyDescent="0.35">
      <c r="A12" s="178"/>
      <c r="B12" s="180"/>
      <c r="C12" s="115">
        <v>2</v>
      </c>
      <c r="D12" s="112" t="s">
        <v>157</v>
      </c>
      <c r="E12" s="112"/>
      <c r="F12" s="112"/>
      <c r="G12" s="112"/>
      <c r="I12" s="178"/>
      <c r="J12" s="180"/>
      <c r="K12" s="115">
        <v>2</v>
      </c>
      <c r="L12" s="112" t="s">
        <v>153</v>
      </c>
      <c r="M12" s="112"/>
      <c r="N12" s="112"/>
      <c r="O12" s="112"/>
    </row>
    <row r="13" spans="1:15" x14ac:dyDescent="0.35">
      <c r="A13" s="178"/>
      <c r="B13" s="180"/>
      <c r="C13" s="116">
        <v>3</v>
      </c>
      <c r="D13" s="114" t="s">
        <v>158</v>
      </c>
      <c r="E13" s="114"/>
      <c r="F13" s="114"/>
      <c r="G13" s="114"/>
      <c r="I13" s="178"/>
      <c r="J13" s="180"/>
      <c r="K13" s="116">
        <v>3</v>
      </c>
      <c r="L13" s="114" t="s">
        <v>154</v>
      </c>
      <c r="M13" s="114"/>
      <c r="N13" s="114"/>
      <c r="O13" s="114"/>
    </row>
    <row r="14" spans="1:15" x14ac:dyDescent="0.35">
      <c r="A14" s="178"/>
      <c r="B14" s="180"/>
      <c r="C14" s="117">
        <v>4</v>
      </c>
      <c r="D14" s="113" t="s">
        <v>109</v>
      </c>
      <c r="E14" s="113"/>
      <c r="F14" s="113"/>
      <c r="G14" s="113"/>
      <c r="I14" s="178"/>
      <c r="J14" s="180"/>
      <c r="K14" s="117">
        <v>4</v>
      </c>
      <c r="L14" s="113" t="s">
        <v>156</v>
      </c>
      <c r="M14" s="113"/>
      <c r="N14" s="113"/>
      <c r="O14" s="113"/>
    </row>
    <row r="15" spans="1:15" x14ac:dyDescent="0.35">
      <c r="A15" s="178"/>
      <c r="B15" s="180"/>
      <c r="C15" s="117">
        <v>5</v>
      </c>
      <c r="D15" s="113" t="s">
        <v>159</v>
      </c>
      <c r="E15" s="113"/>
      <c r="F15" s="113"/>
      <c r="G15" s="113"/>
      <c r="I15" s="178"/>
      <c r="J15" s="180"/>
      <c r="K15" s="117">
        <v>5</v>
      </c>
      <c r="L15" s="113" t="s">
        <v>108</v>
      </c>
      <c r="M15" s="113"/>
      <c r="N15" s="113"/>
      <c r="O15" s="113"/>
    </row>
    <row r="16" spans="1:15" ht="15" thickBot="1" x14ac:dyDescent="0.4">
      <c r="A16" s="179"/>
      <c r="B16" s="181"/>
      <c r="C16" s="111">
        <v>6</v>
      </c>
      <c r="D16" s="32" t="s">
        <v>160</v>
      </c>
      <c r="E16" s="32"/>
      <c r="F16" s="32"/>
      <c r="G16" s="32"/>
      <c r="I16" s="179"/>
      <c r="J16" s="181"/>
      <c r="K16" s="111">
        <v>6</v>
      </c>
      <c r="L16" s="32"/>
      <c r="M16" s="32"/>
      <c r="N16" s="32"/>
      <c r="O16" s="32"/>
    </row>
    <row r="17" spans="1:15" ht="15.5" thickTop="1" thickBot="1" x14ac:dyDescent="0.4"/>
    <row r="18" spans="1:15" ht="30" thickTop="1" thickBot="1" x14ac:dyDescent="0.4">
      <c r="A18" s="118" t="s">
        <v>143</v>
      </c>
      <c r="B18" s="118" t="s">
        <v>144</v>
      </c>
      <c r="C18" s="119" t="s">
        <v>145</v>
      </c>
      <c r="D18" s="120" t="s">
        <v>155</v>
      </c>
      <c r="E18" s="120" t="s">
        <v>146</v>
      </c>
      <c r="F18" s="120" t="s">
        <v>147</v>
      </c>
      <c r="G18" s="120" t="s">
        <v>148</v>
      </c>
      <c r="I18" s="118" t="s">
        <v>143</v>
      </c>
      <c r="J18" s="118" t="s">
        <v>144</v>
      </c>
      <c r="K18" s="119" t="s">
        <v>145</v>
      </c>
      <c r="L18" s="120" t="s">
        <v>155</v>
      </c>
      <c r="M18" s="120" t="s">
        <v>146</v>
      </c>
      <c r="N18" s="120" t="s">
        <v>147</v>
      </c>
      <c r="O18" s="120" t="s">
        <v>148</v>
      </c>
    </row>
    <row r="19" spans="1:15" ht="15" customHeight="1" thickTop="1" x14ac:dyDescent="0.35">
      <c r="A19" s="178">
        <v>41521</v>
      </c>
      <c r="B19" s="180" t="s">
        <v>165</v>
      </c>
      <c r="C19" s="110">
        <v>1</v>
      </c>
      <c r="D19" s="34" t="s">
        <v>153</v>
      </c>
      <c r="E19" s="34"/>
      <c r="F19" s="34"/>
      <c r="G19" s="34"/>
      <c r="I19" s="178">
        <v>41524</v>
      </c>
      <c r="J19" s="180" t="s">
        <v>168</v>
      </c>
      <c r="K19" s="110">
        <v>1</v>
      </c>
      <c r="L19" s="34" t="s">
        <v>157</v>
      </c>
      <c r="M19" s="34"/>
      <c r="N19" s="34"/>
      <c r="O19" s="34"/>
    </row>
    <row r="20" spans="1:15" x14ac:dyDescent="0.35">
      <c r="A20" s="178"/>
      <c r="B20" s="180"/>
      <c r="C20" s="115">
        <v>2</v>
      </c>
      <c r="D20" s="112" t="s">
        <v>108</v>
      </c>
      <c r="E20" s="112"/>
      <c r="F20" s="112"/>
      <c r="G20" s="112"/>
      <c r="I20" s="178"/>
      <c r="J20" s="180"/>
      <c r="K20" s="115">
        <v>2</v>
      </c>
      <c r="L20" s="112" t="s">
        <v>109</v>
      </c>
      <c r="M20" s="112"/>
      <c r="N20" s="112"/>
      <c r="O20" s="112"/>
    </row>
    <row r="21" spans="1:15" x14ac:dyDescent="0.35">
      <c r="A21" s="178"/>
      <c r="B21" s="180"/>
      <c r="C21" s="116">
        <v>3</v>
      </c>
      <c r="D21" s="114" t="s">
        <v>152</v>
      </c>
      <c r="E21" s="114"/>
      <c r="F21" s="114"/>
      <c r="G21" s="114"/>
      <c r="I21" s="178"/>
      <c r="J21" s="180"/>
      <c r="K21" s="116">
        <v>3</v>
      </c>
      <c r="L21" s="114" t="s">
        <v>160</v>
      </c>
      <c r="M21" s="114"/>
      <c r="N21" s="114"/>
      <c r="O21" s="114"/>
    </row>
    <row r="22" spans="1:15" x14ac:dyDescent="0.35">
      <c r="A22" s="178"/>
      <c r="B22" s="180"/>
      <c r="C22" s="117">
        <v>4</v>
      </c>
      <c r="D22" s="113" t="s">
        <v>151</v>
      </c>
      <c r="E22" s="113"/>
      <c r="F22" s="113"/>
      <c r="G22" s="113"/>
      <c r="I22" s="178"/>
      <c r="J22" s="180"/>
      <c r="K22" s="117">
        <v>4</v>
      </c>
      <c r="L22" s="113"/>
      <c r="M22" s="113"/>
      <c r="N22" s="113"/>
      <c r="O22" s="113"/>
    </row>
    <row r="23" spans="1:15" x14ac:dyDescent="0.35">
      <c r="A23" s="178"/>
      <c r="B23" s="180"/>
      <c r="C23" s="117">
        <v>5</v>
      </c>
      <c r="D23" s="113" t="s">
        <v>161</v>
      </c>
      <c r="E23" s="113"/>
      <c r="F23" s="113"/>
      <c r="G23" s="113"/>
      <c r="I23" s="178"/>
      <c r="J23" s="180"/>
      <c r="K23" s="117">
        <v>5</v>
      </c>
      <c r="L23" s="113"/>
      <c r="M23" s="113"/>
      <c r="N23" s="113"/>
      <c r="O23" s="113"/>
    </row>
    <row r="24" spans="1:15" ht="15" thickBot="1" x14ac:dyDescent="0.4">
      <c r="A24" s="179"/>
      <c r="B24" s="181"/>
      <c r="C24" s="111">
        <v>6</v>
      </c>
      <c r="D24" s="32"/>
      <c r="E24" s="32"/>
      <c r="F24" s="32"/>
      <c r="G24" s="32"/>
      <c r="I24" s="179"/>
      <c r="J24" s="181"/>
      <c r="K24" s="111">
        <v>6</v>
      </c>
      <c r="L24" s="32"/>
      <c r="M24" s="32"/>
      <c r="N24" s="32"/>
      <c r="O24" s="32"/>
    </row>
    <row r="25" spans="1:15" ht="15" thickTop="1" x14ac:dyDescent="0.35"/>
  </sheetData>
  <mergeCells count="14">
    <mergeCell ref="A11:A16"/>
    <mergeCell ref="B11:B16"/>
    <mergeCell ref="I11:I16"/>
    <mergeCell ref="J11:J16"/>
    <mergeCell ref="A19:A24"/>
    <mergeCell ref="B19:B24"/>
    <mergeCell ref="I19:I24"/>
    <mergeCell ref="J19:J24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8" r:id="rId3" name="CommandButton2">
          <controlPr defaultSize="0" autoLine="0" r:id="rId4">
            <anchor moveWithCells="1">
              <from>
                <xdr:col>0</xdr:col>
                <xdr:colOff>342900</xdr:colOff>
                <xdr:row>24</xdr:row>
                <xdr:rowOff>171450</xdr:rowOff>
              </from>
              <to>
                <xdr:col>2</xdr:col>
                <xdr:colOff>44450</xdr:colOff>
                <xdr:row>26</xdr:row>
                <xdr:rowOff>114300</xdr:rowOff>
              </to>
            </anchor>
          </controlPr>
        </control>
      </mc:Choice>
      <mc:Fallback>
        <control shapeId="19458" r:id="rId3" name="CommandButton2"/>
      </mc:Fallback>
    </mc:AlternateContent>
    <mc:AlternateContent xmlns:mc="http://schemas.openxmlformats.org/markup-compatibility/2006">
      <mc:Choice Requires="x14">
        <control shapeId="19457" r:id="rId5" name="CommandButton1">
          <controlPr defaultSize="0" autoLine="0" r:id="rId6">
            <anchor moveWithCells="1">
              <from>
                <xdr:col>13</xdr:col>
                <xdr:colOff>146050</xdr:colOff>
                <xdr:row>24</xdr:row>
                <xdr:rowOff>171450</xdr:rowOff>
              </from>
              <to>
                <xdr:col>14</xdr:col>
                <xdr:colOff>450850</xdr:colOff>
                <xdr:row>26</xdr:row>
                <xdr:rowOff>114300</xdr:rowOff>
              </to>
            </anchor>
          </controlPr>
        </control>
      </mc:Choice>
      <mc:Fallback>
        <control shapeId="19457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B.2</vt:lpstr>
      <vt:lpstr>Справочник</vt:lpstr>
      <vt:lpstr>Расчёт</vt:lpstr>
      <vt:lpstr>C.3</vt:lpstr>
      <vt:lpstr>Стипендия</vt:lpstr>
      <vt:lpstr>F.96</vt:lpstr>
      <vt:lpstr>G.1.1</vt:lpstr>
      <vt:lpstr>G.1.2</vt:lpstr>
      <vt:lpstr>H.1</vt:lpstr>
      <vt:lpstr>H.1 (2)</vt:lpstr>
      <vt:lpstr>H.1 (3)</vt:lpstr>
      <vt:lpstr>H.1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Анатолий Анищенко</dc:creator>
  <cp:lastModifiedBy>Анатолий Анищенко</cp:lastModifiedBy>
  <dcterms:created xsi:type="dcterms:W3CDTF">2018-11-27T14:14:45Z</dcterms:created>
  <dcterms:modified xsi:type="dcterms:W3CDTF">2018-11-29T07:38:40Z</dcterms:modified>
</cp:coreProperties>
</file>